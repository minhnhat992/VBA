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nezD\Desktop\"/>
    </mc:Choice>
  </mc:AlternateContent>
  <bookViews>
    <workbookView xWindow="120" yWindow="375" windowWidth="9420" windowHeight="4260" tabRatio="722" firstSheet="1" activeTab="1"/>
  </bookViews>
  <sheets>
    <sheet name="Data" sheetId="299" state="hidden" r:id="rId1"/>
    <sheet name="BSS" sheetId="2" r:id="rId2"/>
    <sheet name="NF Setup" sheetId="159" state="hidden" r:id="rId3"/>
    <sheet name="Control Panel" sheetId="255" r:id="rId4"/>
    <sheet name="ML" sheetId="29" r:id="rId5"/>
    <sheet name="Alliance Setup" sheetId="254" state="hidden" r:id="rId6"/>
    <sheet name="Parameters" sheetId="253" state="hidden" r:id="rId7"/>
    <sheet name="Universe" sheetId="252" state="hidden" r:id="rId8"/>
  </sheets>
  <functionGroups builtInGroupCount="18">
    <functionGroup name="XLSTAT"/>
    <functionGroup name="Oracle IRM Add-in"/>
    <functionGroup name="Engenharia"/>
  </functionGroups>
  <definedNames>
    <definedName name="Brands0">#REF!</definedName>
    <definedName name="Brands1">#REF!</definedName>
    <definedName name="Brands2">#REF!</definedName>
    <definedName name="labels">Parameters!$I$11:$I$15</definedName>
    <definedName name="xs">#REF!</definedName>
    <definedName name="ys">#REF!</definedName>
  </definedNames>
  <calcPr calcId="152511"/>
</workbook>
</file>

<file path=xl/calcChain.xml><?xml version="1.0" encoding="utf-8"?>
<calcChain xmlns="http://schemas.openxmlformats.org/spreadsheetml/2006/main">
  <c r="BY25" i="253" l="1"/>
  <c r="BX25" i="253"/>
  <c r="BW25" i="253"/>
  <c r="BV25" i="253"/>
  <c r="BU25" i="253"/>
  <c r="BQ25" i="253"/>
  <c r="BP25" i="253"/>
  <c r="BO25" i="253"/>
  <c r="BN25" i="253"/>
  <c r="BM25" i="253"/>
  <c r="BL25" i="253"/>
  <c r="BK25" i="253"/>
  <c r="BJ25" i="253"/>
  <c r="BI25" i="253"/>
  <c r="BH25" i="253"/>
  <c r="BG25" i="253"/>
  <c r="BF25" i="253"/>
  <c r="BY24" i="253"/>
  <c r="BX24" i="253"/>
  <c r="BW24" i="253"/>
  <c r="BV24" i="253"/>
  <c r="BU24" i="253"/>
  <c r="BQ24" i="253"/>
  <c r="BP24" i="253"/>
  <c r="BO24" i="253"/>
  <c r="BN24" i="253"/>
  <c r="BM24" i="253"/>
  <c r="BL24" i="253"/>
  <c r="BK24" i="253"/>
  <c r="BJ24" i="253"/>
  <c r="BI24" i="253"/>
  <c r="BH24" i="253"/>
  <c r="BG24" i="253"/>
  <c r="BF24" i="253"/>
  <c r="BY23" i="253"/>
  <c r="BX23" i="253"/>
  <c r="BW23" i="253"/>
  <c r="BV23" i="253"/>
  <c r="BU23" i="253"/>
  <c r="BQ23" i="253"/>
  <c r="BP23" i="253"/>
  <c r="BO23" i="253"/>
  <c r="BN23" i="253"/>
  <c r="BM23" i="253"/>
  <c r="BL23" i="253"/>
  <c r="BK23" i="253"/>
  <c r="BJ23" i="253"/>
  <c r="BI23" i="253"/>
  <c r="BH23" i="253"/>
  <c r="BG23" i="253"/>
  <c r="BF23" i="253"/>
  <c r="BY22" i="253"/>
  <c r="BX22" i="253"/>
  <c r="BW22" i="253"/>
  <c r="BV22" i="253"/>
  <c r="BU22" i="253"/>
  <c r="BQ22" i="253"/>
  <c r="BP22" i="253"/>
  <c r="BO22" i="253"/>
  <c r="BN22" i="253"/>
  <c r="BM22" i="253"/>
  <c r="BL22" i="253"/>
  <c r="BK22" i="253"/>
  <c r="BJ22" i="253"/>
  <c r="BI22" i="253"/>
  <c r="BH22" i="253"/>
  <c r="BG22" i="253"/>
  <c r="BF22" i="253"/>
  <c r="BY21" i="253"/>
  <c r="BX21" i="253"/>
  <c r="BW21" i="253"/>
  <c r="BV21" i="253"/>
  <c r="BU21" i="253"/>
  <c r="BQ21" i="253"/>
  <c r="BP21" i="253"/>
  <c r="BO21" i="253"/>
  <c r="BN21" i="253"/>
  <c r="BM21" i="253"/>
  <c r="BL21" i="253"/>
  <c r="BK21" i="253"/>
  <c r="BJ21" i="253"/>
  <c r="BI21" i="253"/>
  <c r="BH21" i="253"/>
  <c r="BG21" i="253"/>
  <c r="BF21" i="253"/>
  <c r="BY20" i="253"/>
  <c r="BX20" i="253"/>
  <c r="BW20" i="253"/>
  <c r="BV20" i="253"/>
  <c r="BU20" i="253"/>
  <c r="BQ20" i="253"/>
  <c r="BP20" i="253"/>
  <c r="BO20" i="253"/>
  <c r="BN20" i="253"/>
  <c r="BM20" i="253"/>
  <c r="BL20" i="253"/>
  <c r="BK20" i="253"/>
  <c r="BJ20" i="253"/>
  <c r="BI20" i="253"/>
  <c r="BH20" i="253"/>
  <c r="BG20" i="253"/>
  <c r="BF20" i="253"/>
  <c r="BY19" i="253"/>
  <c r="BX19" i="253"/>
  <c r="BW19" i="253"/>
  <c r="BV19" i="253"/>
  <c r="BU19" i="253"/>
  <c r="BQ19" i="253"/>
  <c r="BP19" i="253"/>
  <c r="BO19" i="253"/>
  <c r="BN19" i="253"/>
  <c r="BM19" i="253"/>
  <c r="BL19" i="253"/>
  <c r="BK19" i="253"/>
  <c r="BJ19" i="253"/>
  <c r="BI19" i="253"/>
  <c r="BH19" i="253"/>
  <c r="BG19" i="253"/>
  <c r="BF19" i="253"/>
  <c r="BF9" i="253"/>
  <c r="BG9" i="253"/>
  <c r="BH9" i="253"/>
  <c r="BI9" i="253"/>
  <c r="BJ9" i="253"/>
  <c r="BK9" i="253"/>
  <c r="BL9" i="253"/>
  <c r="BM9" i="253"/>
  <c r="BN9" i="253"/>
  <c r="BO9" i="253"/>
  <c r="BP9" i="253"/>
  <c r="BQ9" i="253"/>
  <c r="BY9" i="253"/>
  <c r="BX9" i="253"/>
  <c r="BW9" i="253"/>
  <c r="BV9" i="253"/>
  <c r="BU9" i="253"/>
  <c r="BR9" i="253" l="1"/>
  <c r="BS9" i="253" s="1"/>
  <c r="BT9" i="253" s="1"/>
  <c r="BZ9" i="253" l="1"/>
</calcChain>
</file>

<file path=xl/sharedStrings.xml><?xml version="1.0" encoding="utf-8"?>
<sst xmlns="http://schemas.openxmlformats.org/spreadsheetml/2006/main" count="2306" uniqueCount="826">
  <si>
    <t>Countries</t>
  </si>
  <si>
    <t>Class</t>
  </si>
  <si>
    <t>Basic</t>
  </si>
  <si>
    <t>USA</t>
  </si>
  <si>
    <t>CHILE</t>
  </si>
  <si>
    <t>COLOMBIA</t>
  </si>
  <si>
    <t>ARGENTINA</t>
  </si>
  <si>
    <t>MEXICO</t>
  </si>
  <si>
    <t>BRASIL</t>
  </si>
  <si>
    <t>URUGUAY</t>
  </si>
  <si>
    <t>Attributes</t>
  </si>
  <si>
    <t>Trustworthy</t>
  </si>
  <si>
    <t>Confiable</t>
  </si>
  <si>
    <t>Honesta</t>
  </si>
  <si>
    <t>Chile</t>
  </si>
  <si>
    <t>Friendly</t>
  </si>
  <si>
    <t>Amigable</t>
  </si>
  <si>
    <t>Amigável</t>
  </si>
  <si>
    <t>Colombia</t>
  </si>
  <si>
    <t>Dynamic</t>
  </si>
  <si>
    <t>Dinámica</t>
  </si>
  <si>
    <t>Dinâmica</t>
  </si>
  <si>
    <t>Argentina</t>
  </si>
  <si>
    <t>Unapproachable</t>
  </si>
  <si>
    <t>Inalcanzable</t>
  </si>
  <si>
    <t>Remota/Alejada</t>
  </si>
  <si>
    <t>Distante</t>
  </si>
  <si>
    <t>Mexico</t>
  </si>
  <si>
    <t>Distinctive</t>
  </si>
  <si>
    <t>Se destaca</t>
  </si>
  <si>
    <t>Se Destaca</t>
  </si>
  <si>
    <t>Distintiva</t>
  </si>
  <si>
    <t>De Destaque</t>
  </si>
  <si>
    <t>Brasil</t>
  </si>
  <si>
    <t>High_Quality</t>
  </si>
  <si>
    <t>High Quality</t>
  </si>
  <si>
    <t>Alta calidad</t>
  </si>
  <si>
    <t>Alta Calidad</t>
  </si>
  <si>
    <t>Alta Qualidade</t>
  </si>
  <si>
    <t>Uruguay</t>
  </si>
  <si>
    <t>Authentic</t>
  </si>
  <si>
    <t>Auténtica</t>
  </si>
  <si>
    <t>Autentico</t>
  </si>
  <si>
    <t>Autêntica</t>
  </si>
  <si>
    <t>Innovative</t>
  </si>
  <si>
    <t>Innovadora</t>
  </si>
  <si>
    <t>Inovadora</t>
  </si>
  <si>
    <t>Good_Value</t>
  </si>
  <si>
    <t>Good Value</t>
  </si>
  <si>
    <t>Vale lo que cuesta</t>
  </si>
  <si>
    <t>Vale la Pena</t>
  </si>
  <si>
    <t>Buen valor por el dinero</t>
  </si>
  <si>
    <t>Tem um preço bom</t>
  </si>
  <si>
    <t>Cares_Customers</t>
  </si>
  <si>
    <t>Cares Customers</t>
  </si>
  <si>
    <t>Se preocupa por el cliente</t>
  </si>
  <si>
    <t>Se preocupa por el Cliente</t>
  </si>
  <si>
    <t>Se preocupa por el consumidor</t>
  </si>
  <si>
    <t>Preocupada com seus clientes</t>
  </si>
  <si>
    <t>Original</t>
  </si>
  <si>
    <t>Arrogant</t>
  </si>
  <si>
    <t>Arrogante</t>
  </si>
  <si>
    <t>Presumida</t>
  </si>
  <si>
    <t>Fun</t>
  </si>
  <si>
    <t>Entretenida</t>
  </si>
  <si>
    <t>Divertida</t>
  </si>
  <si>
    <t>Reliable</t>
  </si>
  <si>
    <t>Segura</t>
  </si>
  <si>
    <t>Garantizada</t>
  </si>
  <si>
    <t>Confiável</t>
  </si>
  <si>
    <t>Prestigious</t>
  </si>
  <si>
    <t>Prestigiosa</t>
  </si>
  <si>
    <t>De prestigio</t>
  </si>
  <si>
    <t>De prestígio</t>
  </si>
  <si>
    <t>Unique</t>
  </si>
  <si>
    <t>Única</t>
  </si>
  <si>
    <t>Unica</t>
  </si>
  <si>
    <t>Different</t>
  </si>
  <si>
    <t>Diferente</t>
  </si>
  <si>
    <t>Stylish</t>
  </si>
  <si>
    <t>Con estilo</t>
  </si>
  <si>
    <t>Con Estilo</t>
  </si>
  <si>
    <t>De moda</t>
  </si>
  <si>
    <t>Tem estilo</t>
  </si>
  <si>
    <t>Straightforward</t>
  </si>
  <si>
    <t>Sincera</t>
  </si>
  <si>
    <t>Frontal / Directa</t>
  </si>
  <si>
    <t>Va al grano</t>
  </si>
  <si>
    <t>Directa</t>
  </si>
  <si>
    <t>Up_To_Date</t>
  </si>
  <si>
    <t>Up To Date</t>
  </si>
  <si>
    <t>Actualizada</t>
  </si>
  <si>
    <t>Moderna</t>
  </si>
  <si>
    <t>Actual</t>
  </si>
  <si>
    <t>Atualizada</t>
  </si>
  <si>
    <t>Traditional</t>
  </si>
  <si>
    <t>Tradicional</t>
  </si>
  <si>
    <t>Helpful</t>
  </si>
  <si>
    <t>Util</t>
  </si>
  <si>
    <t>Útil</t>
  </si>
  <si>
    <t>Progressive</t>
  </si>
  <si>
    <t>Progresista</t>
  </si>
  <si>
    <t>Se desarrolla</t>
  </si>
  <si>
    <t>Avançada</t>
  </si>
  <si>
    <t>De avanzada</t>
  </si>
  <si>
    <t>Best_Brand</t>
  </si>
  <si>
    <t>Best Brand</t>
  </si>
  <si>
    <t>Mejor en su categoría</t>
  </si>
  <si>
    <t>A melhor marca na categoria</t>
  </si>
  <si>
    <t>Mejor en su categoria</t>
  </si>
  <si>
    <t>Down_To_Earth</t>
  </si>
  <si>
    <t>Down To Earth</t>
  </si>
  <si>
    <t>Con los pies en la tierra</t>
  </si>
  <si>
    <t>Con los pies en la Tierra</t>
  </si>
  <si>
    <t>Realista/pragmática</t>
  </si>
  <si>
    <t>Prática</t>
  </si>
  <si>
    <t>Con los pies en la terra</t>
  </si>
  <si>
    <t>Daring</t>
  </si>
  <si>
    <t>Atrevida</t>
  </si>
  <si>
    <t>Audaciosa</t>
  </si>
  <si>
    <t>Emprendedora</t>
  </si>
  <si>
    <t>Intelligent</t>
  </si>
  <si>
    <t>Inteligente</t>
  </si>
  <si>
    <t>Upper_Class</t>
  </si>
  <si>
    <t>Upper Class</t>
  </si>
  <si>
    <t>Clase alta</t>
  </si>
  <si>
    <t>Con Clase</t>
  </si>
  <si>
    <t>Selectiva / Con clase</t>
  </si>
  <si>
    <t>Selecta/con clase</t>
  </si>
  <si>
    <t>Para a classe alta</t>
  </si>
  <si>
    <t>Con clase</t>
  </si>
  <si>
    <t>Restrained</t>
  </si>
  <si>
    <t>Conservadora</t>
  </si>
  <si>
    <t>Inhibida/ reservada</t>
  </si>
  <si>
    <t>Reservada</t>
  </si>
  <si>
    <t>Simple</t>
  </si>
  <si>
    <t>Sencilla/natural</t>
  </si>
  <si>
    <t>Simples</t>
  </si>
  <si>
    <t>Trendy</t>
  </si>
  <si>
    <t>Genera Tendencias</t>
  </si>
  <si>
    <t>Marca tendencias</t>
  </si>
  <si>
    <t>Va con los tiempos</t>
  </si>
  <si>
    <t>Na moda</t>
  </si>
  <si>
    <t>Glamorous</t>
  </si>
  <si>
    <t>Con glamour</t>
  </si>
  <si>
    <t>Glamurosa</t>
  </si>
  <si>
    <t>Glamorosa</t>
  </si>
  <si>
    <t>Glamourosa</t>
  </si>
  <si>
    <t>Tiene glamour</t>
  </si>
  <si>
    <t>Healthy</t>
  </si>
  <si>
    <t>Saludable</t>
  </si>
  <si>
    <t>Saudável</t>
  </si>
  <si>
    <t>Charming</t>
  </si>
  <si>
    <t>Cautivante</t>
  </si>
  <si>
    <t>Encantadora</t>
  </si>
  <si>
    <t>Fascinante/cautivadora</t>
  </si>
  <si>
    <t>Tough</t>
  </si>
  <si>
    <t>Fuerte</t>
  </si>
  <si>
    <t>Kind</t>
  </si>
  <si>
    <t>Amable</t>
  </si>
  <si>
    <t>Amable/comprensiva</t>
  </si>
  <si>
    <t>Gentil</t>
  </si>
  <si>
    <t>Energetic</t>
  </si>
  <si>
    <t>Con energía</t>
  </si>
  <si>
    <t>Activa</t>
  </si>
  <si>
    <t>Con energía/activa</t>
  </si>
  <si>
    <t>Ativa</t>
  </si>
  <si>
    <t>Leader</t>
  </si>
  <si>
    <t>Líder</t>
  </si>
  <si>
    <t>Rugged</t>
  </si>
  <si>
    <t>Sólida</t>
  </si>
  <si>
    <t>Ruda</t>
  </si>
  <si>
    <t>Robusta</t>
  </si>
  <si>
    <t>Vigorosa</t>
  </si>
  <si>
    <t>Carefree</t>
  </si>
  <si>
    <t>Relajada</t>
  </si>
  <si>
    <t>Descomplicada</t>
  </si>
  <si>
    <t>Distendida</t>
  </si>
  <si>
    <t>Despreocupada /alegre</t>
  </si>
  <si>
    <t>Tranqüila</t>
  </si>
  <si>
    <t>Obliging</t>
  </si>
  <si>
    <t>Servicial</t>
  </si>
  <si>
    <t>Servicial/amable</t>
  </si>
  <si>
    <t>Prestativa</t>
  </si>
  <si>
    <t>Gaining_in_Popularity</t>
  </si>
  <si>
    <t>Gaining in Popularity</t>
  </si>
  <si>
    <t>Es cada vez más importante</t>
  </si>
  <si>
    <t>Es cada vez más popular</t>
  </si>
  <si>
    <t>Cada vez más conocida</t>
  </si>
  <si>
    <t>Ganhando reconhecimento</t>
  </si>
  <si>
    <t>Está ganando popularidad</t>
  </si>
  <si>
    <t>High_Performance</t>
  </si>
  <si>
    <t>High Performance</t>
  </si>
  <si>
    <t>Exitosa</t>
  </si>
  <si>
    <t>Da grandes resultados</t>
  </si>
  <si>
    <t>Alto desempenho</t>
  </si>
  <si>
    <t>Alto rendimiento</t>
  </si>
  <si>
    <t>Worth_More</t>
  </si>
  <si>
    <t>Worth More</t>
  </si>
  <si>
    <t>Vale la pena pagar más por ella</t>
  </si>
  <si>
    <t>Merece la pena pagar más por ella</t>
  </si>
  <si>
    <t>Vale a pena pagar mais por ela</t>
  </si>
  <si>
    <t>Socially_Responsible</t>
  </si>
  <si>
    <t>Socially Responsible</t>
  </si>
  <si>
    <t>Socialmente responsable</t>
  </si>
  <si>
    <t>Conciencia social</t>
  </si>
  <si>
    <t>Tem responsabilidade social</t>
  </si>
  <si>
    <t>Con responsabilidad social</t>
  </si>
  <si>
    <t>Social</t>
  </si>
  <si>
    <t>Sociable</t>
  </si>
  <si>
    <t>Sociável</t>
  </si>
  <si>
    <t>Sensuous</t>
  </si>
  <si>
    <t>Sensual</t>
  </si>
  <si>
    <t>Independent</t>
  </si>
  <si>
    <t>Independiente</t>
  </si>
  <si>
    <t>Livre</t>
  </si>
  <si>
    <t>Calm</t>
  </si>
  <si>
    <t>Calmada</t>
  </si>
  <si>
    <t>Tranquila</t>
  </si>
  <si>
    <t>Honest</t>
  </si>
  <si>
    <t>Outdoorsy</t>
  </si>
  <si>
    <t>Externalizable</t>
  </si>
  <si>
    <t>Strong</t>
  </si>
  <si>
    <t>Not Arrogant</t>
  </si>
  <si>
    <t>No Arrogante</t>
  </si>
  <si>
    <t>No Presumida</t>
  </si>
  <si>
    <t>Não Arrogante</t>
  </si>
  <si>
    <t>Approachable</t>
  </si>
  <si>
    <t>No Inalcanzable</t>
  </si>
  <si>
    <t>No Remota/Alejada</t>
  </si>
  <si>
    <t>Não distante</t>
  </si>
  <si>
    <t>Factor</t>
  </si>
  <si>
    <t>Pillar</t>
  </si>
  <si>
    <t>Energized Differentiation</t>
  </si>
  <si>
    <t>Diferenciación Energizada</t>
  </si>
  <si>
    <t>Diferenciação Energizada</t>
  </si>
  <si>
    <t>Relevance</t>
  </si>
  <si>
    <t>Relevancia</t>
  </si>
  <si>
    <t>Relevância</t>
  </si>
  <si>
    <t>Esteem</t>
  </si>
  <si>
    <t>Estima</t>
  </si>
  <si>
    <t>Knowledge</t>
  </si>
  <si>
    <t>Familiaridad</t>
  </si>
  <si>
    <t>Familiaridade</t>
  </si>
  <si>
    <t>Conocimiento</t>
  </si>
  <si>
    <r>
      <t>D</t>
    </r>
    <r>
      <rPr>
        <vertAlign val="superscript"/>
        <sz val="10"/>
        <rFont val="Arial"/>
        <family val="2"/>
      </rPr>
      <t>E</t>
    </r>
  </si>
  <si>
    <t>R</t>
  </si>
  <si>
    <t>E</t>
  </si>
  <si>
    <t>K</t>
  </si>
  <si>
    <t>F</t>
  </si>
  <si>
    <t>Dimension</t>
  </si>
  <si>
    <t>Stature</t>
  </si>
  <si>
    <t>Estatura</t>
  </si>
  <si>
    <t>Strength</t>
  </si>
  <si>
    <t>Fortaleza</t>
  </si>
  <si>
    <t>Vitalidade</t>
  </si>
  <si>
    <t>BAV</t>
  </si>
  <si>
    <t>Brand Asset</t>
  </si>
  <si>
    <t>Use-Consider</t>
  </si>
  <si>
    <t xml:space="preserve">Buy or use regularly/often </t>
  </si>
  <si>
    <t>Uso regularmente /seguido</t>
  </si>
  <si>
    <t>Compro/Uso Habitualmente</t>
  </si>
  <si>
    <t xml:space="preserve">Buy or use occasionally </t>
  </si>
  <si>
    <t xml:space="preserve">Uso ocasionalmente </t>
  </si>
  <si>
    <t xml:space="preserve">Compro/Uso De Vez em Quando   </t>
  </si>
  <si>
    <t>Have bought/used but don`t anymore</t>
  </si>
  <si>
    <t>La he usado, pero ya no</t>
  </si>
  <si>
    <t>Já Comprei/Usei Mas Deixei de Comprar/Usar</t>
  </si>
  <si>
    <t>Never bought or used</t>
  </si>
  <si>
    <t xml:space="preserve">Nunca he usado </t>
  </si>
  <si>
    <t>Nunca Comprei/Usei</t>
  </si>
  <si>
    <t>One of the strongest relationships I have with a brand</t>
  </si>
  <si>
    <t>Una de las relaciones más fuertes que tengo con una marca</t>
  </si>
  <si>
    <t>Um dos relacionamentos mais fortes que eu tenho com uma marca</t>
  </si>
  <si>
    <t>Love it/ Would miss if it went away</t>
  </si>
  <si>
    <t>Me encanta / La echaría de menos si se va</t>
  </si>
  <si>
    <t>Adoro essa marca/ sentiria falta se ela saisse do mercado</t>
  </si>
  <si>
    <t>Feel loyal/ Buy it whenever I can</t>
  </si>
  <si>
    <t>Me Siento leal / La uso cada vez que puedo</t>
  </si>
  <si>
    <t>Sou fiel / Uso essa marca sempre que eu posso</t>
  </si>
  <si>
    <t>The one I`d prefer to buy/use</t>
  </si>
  <si>
    <t>La que prefiero comprar / usar</t>
  </si>
  <si>
    <t>A marca que eu preferiria comprar/usar</t>
  </si>
  <si>
    <t>One of several I`d buy/use</t>
  </si>
  <si>
    <t>Una de las varias que compraría / usaría</t>
  </si>
  <si>
    <t>Uma entre várias que eu estaria satisfeito em comprar/usar</t>
  </si>
  <si>
    <t>Only buy/use if no convenient alternative</t>
  </si>
  <si>
    <t>Sólo la compraría / usaría si no hay alternativas convenientes</t>
  </si>
  <si>
    <t>Eu só compraria/usaria se não houvesse alternativa</t>
  </si>
  <si>
    <t>Would never buy/use</t>
  </si>
  <si>
    <t>Nunca la compraría / usaría</t>
  </si>
  <si>
    <t>Eu nunca pensaria em comprar/usar</t>
  </si>
  <si>
    <t>Sheets</t>
  </si>
  <si>
    <t>Pillars</t>
  </si>
  <si>
    <t>Pilares</t>
  </si>
  <si>
    <t>Power Grid</t>
  </si>
  <si>
    <r>
      <t>Grid D</t>
    </r>
    <r>
      <rPr>
        <vertAlign val="superscript"/>
        <sz val="10"/>
        <rFont val="Arial"/>
        <family val="2"/>
      </rPr>
      <t>E</t>
    </r>
    <r>
      <rPr>
        <sz val="10"/>
        <rFont val="Arial"/>
        <family val="2"/>
      </rPr>
      <t>-R</t>
    </r>
  </si>
  <si>
    <t>Grid E-K</t>
  </si>
  <si>
    <t>Grid E-F</t>
  </si>
  <si>
    <t>Classic Factors</t>
  </si>
  <si>
    <t>Factores Clasicos</t>
  </si>
  <si>
    <t>Clasic Factors</t>
  </si>
  <si>
    <t>Factors</t>
  </si>
  <si>
    <t>Factores</t>
  </si>
  <si>
    <t>Atributos</t>
  </si>
  <si>
    <t>Attributes_pct</t>
  </si>
  <si>
    <t>Atributos_pct</t>
  </si>
  <si>
    <t>Linear Reg</t>
  </si>
  <si>
    <t>Reg. Lineal</t>
  </si>
  <si>
    <t>Factor Drivers</t>
  </si>
  <si>
    <t>Musts</t>
  </si>
  <si>
    <t>Compare Brands</t>
  </si>
  <si>
    <t>Compara Marcas</t>
  </si>
  <si>
    <t>Marcas comparadas</t>
  </si>
  <si>
    <t>Brand Equity</t>
  </si>
  <si>
    <t>Brand Core</t>
  </si>
  <si>
    <t>Image Similarity</t>
  </si>
  <si>
    <t>Similaridad de Imagen</t>
  </si>
  <si>
    <t>Similaridade de Imagem</t>
  </si>
  <si>
    <t>Attributes Drivers</t>
  </si>
  <si>
    <t>Atributos Drivers</t>
  </si>
  <si>
    <t>Archetypes</t>
  </si>
  <si>
    <t>Arquetipos</t>
  </si>
  <si>
    <t>Arquétipos</t>
  </si>
  <si>
    <t>Consumer Surplus</t>
  </si>
  <si>
    <t>Summary</t>
  </si>
  <si>
    <t>Resumen</t>
  </si>
  <si>
    <t>Resumo</t>
  </si>
  <si>
    <t>POD</t>
  </si>
  <si>
    <t>POP</t>
  </si>
  <si>
    <t>I Corr</t>
  </si>
  <si>
    <t>BE Graph</t>
  </si>
  <si>
    <t>Gráfico BE</t>
  </si>
  <si>
    <t>Alliance</t>
  </si>
  <si>
    <t>Alianças</t>
  </si>
  <si>
    <t>Regression</t>
  </si>
  <si>
    <t>Linear Regression</t>
  </si>
  <si>
    <t>Regresion Lineal</t>
  </si>
  <si>
    <t>Corr. Coef</t>
  </si>
  <si>
    <t>Coef. Correlación</t>
  </si>
  <si>
    <t>Drivers</t>
  </si>
  <si>
    <t>New Factors - Correlation Coeficient</t>
  </si>
  <si>
    <t>Coeficiente Correlacion - Nuevos Factores</t>
  </si>
  <si>
    <t>New Factors - Correlation Coeficiente</t>
  </si>
  <si>
    <t>Perceived Price</t>
  </si>
  <si>
    <t>Valor Percebido</t>
  </si>
  <si>
    <t>Willingness to Pay</t>
  </si>
  <si>
    <t>Predisposição a pagar</t>
  </si>
  <si>
    <t>Compare Brand</t>
  </si>
  <si>
    <t>Compared Image Attributes</t>
  </si>
  <si>
    <t>Atributos de Imagen Comparados</t>
  </si>
  <si>
    <t>Atributos de Imagem Comparados</t>
  </si>
  <si>
    <t>Compared Personality Attributes</t>
  </si>
  <si>
    <t>Atributos de Personalidad Comparados</t>
  </si>
  <si>
    <t>Atributos de Personalidade Comparados</t>
  </si>
  <si>
    <t>Discriminates</t>
  </si>
  <si>
    <t>Discriminante</t>
  </si>
  <si>
    <t>Chart</t>
  </si>
  <si>
    <t>Correlation of Image Attributes</t>
  </si>
  <si>
    <t>Correlación Atributos de Imagen</t>
  </si>
  <si>
    <t>Correlação de atributos de imagem</t>
  </si>
  <si>
    <t>Correlation of Personality Attributes</t>
  </si>
  <si>
    <t>Correlación Atributos de Personalidad</t>
  </si>
  <si>
    <t>Correlação dos atributos de personalidade</t>
  </si>
  <si>
    <t>Drivers D-R Image</t>
  </si>
  <si>
    <t>Drivers D-R Imagen,</t>
  </si>
  <si>
    <t>Drivers D-R Imagem</t>
  </si>
  <si>
    <t>Drivers D-R Personality</t>
  </si>
  <si>
    <t>Drivers D-R Personalidad,</t>
  </si>
  <si>
    <t>Drivers D-R Personalidade</t>
  </si>
  <si>
    <t>Drivers E-R Image</t>
  </si>
  <si>
    <t>Drivers E-R Imagen,</t>
  </si>
  <si>
    <t>Drivers E-R Imagem</t>
  </si>
  <si>
    <t>Drivers E-R Personality</t>
  </si>
  <si>
    <t>Drivers E-R Personalidad,</t>
  </si>
  <si>
    <t>Drivers E-R Personalidade</t>
  </si>
  <si>
    <t>Metrics</t>
  </si>
  <si>
    <t>Category Avg.</t>
  </si>
  <si>
    <t>Promedio Cat.</t>
  </si>
  <si>
    <t>Std. Deviation</t>
  </si>
  <si>
    <t>Desv.</t>
  </si>
  <si>
    <t>Golden Standard</t>
  </si>
  <si>
    <t>Brand Extension</t>
  </si>
  <si>
    <t>Imaginery Correlation</t>
  </si>
  <si>
    <t>Corr. Imagen</t>
  </si>
  <si>
    <t>Correlação de Imagem</t>
  </si>
  <si>
    <t>N° of Musts</t>
  </si>
  <si>
    <t>N° de Musts</t>
  </si>
  <si>
    <t>Nº de Musts</t>
  </si>
  <si>
    <t>Std. Norm. Dist.</t>
  </si>
  <si>
    <t>Dist. Norm. Estándar</t>
  </si>
  <si>
    <t>Zscore</t>
  </si>
  <si>
    <t>N° of Spaces</t>
  </si>
  <si>
    <t>N° de Espacios</t>
  </si>
  <si>
    <t>Points of Parity</t>
  </si>
  <si>
    <t>Puntos de Paridad</t>
  </si>
  <si>
    <t>Pontos de Paridade</t>
  </si>
  <si>
    <t>Points of Difference</t>
  </si>
  <si>
    <t>Puntos de Diferencia</t>
  </si>
  <si>
    <t>Pontos de Diferença</t>
  </si>
  <si>
    <t>Brand Potential</t>
  </si>
  <si>
    <t>Potencial de Marca</t>
  </si>
  <si>
    <t>Image and Personality Attributes of</t>
  </si>
  <si>
    <t>Atributos de Imagen y Personalidad</t>
  </si>
  <si>
    <t>Atributos de Imagem e Personalidade</t>
  </si>
  <si>
    <t>Image Attributes</t>
  </si>
  <si>
    <t xml:space="preserve">Atributos de Imagen </t>
  </si>
  <si>
    <t>Atributos de Imagem</t>
  </si>
  <si>
    <t>Média da Categoria</t>
  </si>
  <si>
    <t>Personality Attributes</t>
  </si>
  <si>
    <t>Atributos de Personalidad</t>
  </si>
  <si>
    <t>Atributos de Personalidade</t>
  </si>
  <si>
    <t>Image Brand Core</t>
  </si>
  <si>
    <t>Brand Core de Imagen</t>
  </si>
  <si>
    <t>Brand Core de Imagem</t>
  </si>
  <si>
    <t>Personality Brand Core</t>
  </si>
  <si>
    <t>Brand Core de Personalidad</t>
  </si>
  <si>
    <t>Brand Core de Personalidade</t>
  </si>
  <si>
    <t>Brand - Category Avg.</t>
  </si>
  <si>
    <t>Marca - Promedio Cat.</t>
  </si>
  <si>
    <t>Marca - Media Categoria</t>
  </si>
  <si>
    <t>over</t>
  </si>
  <si>
    <t>sobre</t>
  </si>
  <si>
    <t>Brand Alliance</t>
  </si>
  <si>
    <t>Brand</t>
  </si>
  <si>
    <t>Marca</t>
  </si>
  <si>
    <t>Category</t>
  </si>
  <si>
    <t>Categoría</t>
  </si>
  <si>
    <t>Categoria</t>
  </si>
  <si>
    <t>Affinity</t>
  </si>
  <si>
    <t>Afinidad</t>
  </si>
  <si>
    <t>Essência</t>
  </si>
  <si>
    <t>Contribution</t>
  </si>
  <si>
    <t>Aporte</t>
  </si>
  <si>
    <t>Oportunidade</t>
  </si>
  <si>
    <t>Brand Essence</t>
  </si>
  <si>
    <t>Esencia de Marca</t>
  </si>
  <si>
    <r>
      <t>Brand Opportunity</t>
    </r>
    <r>
      <rPr>
        <sz val="8"/>
        <color indexed="8"/>
        <rFont val="Arial"/>
        <family val="2"/>
      </rPr>
      <t xml:space="preserve"> </t>
    </r>
  </si>
  <si>
    <t>Debilidad de Marca</t>
  </si>
  <si>
    <t>Average</t>
  </si>
  <si>
    <t>Promedio</t>
  </si>
  <si>
    <t>DE Components</t>
  </si>
  <si>
    <t>Differentiation</t>
  </si>
  <si>
    <t>Energy</t>
  </si>
  <si>
    <t>Pillar Components</t>
  </si>
  <si>
    <t>Comp. Pilares</t>
  </si>
  <si>
    <t>Brand_ID</t>
  </si>
  <si>
    <t>Dupl_Index</t>
  </si>
  <si>
    <t>Category_NM</t>
  </si>
  <si>
    <t>Top_of_Mind_pct</t>
  </si>
  <si>
    <t>Total_Unaided_pct</t>
  </si>
  <si>
    <t>Trustworthy_pct</t>
  </si>
  <si>
    <t>Friendly_pct</t>
  </si>
  <si>
    <t>Dynamic_pct</t>
  </si>
  <si>
    <t>Unapproachable_pct</t>
  </si>
  <si>
    <t>Distinctive_pct</t>
  </si>
  <si>
    <t>High_quality_pct</t>
  </si>
  <si>
    <t>Authentic_pct</t>
  </si>
  <si>
    <t>Innovative_pct</t>
  </si>
  <si>
    <t>Good_Value_pct</t>
  </si>
  <si>
    <t>Cares_Customers_pct</t>
  </si>
  <si>
    <t>Original_pct</t>
  </si>
  <si>
    <t>Arrogant_pct</t>
  </si>
  <si>
    <t>Fun_pct</t>
  </si>
  <si>
    <t>Reliable_pct</t>
  </si>
  <si>
    <t>Prestigious_pct</t>
  </si>
  <si>
    <t>Unique_pct</t>
  </si>
  <si>
    <t>Different_pct</t>
  </si>
  <si>
    <t>Stylish_pct</t>
  </si>
  <si>
    <t>Straightforward_pct</t>
  </si>
  <si>
    <t>Up_To_Date_pct</t>
  </si>
  <si>
    <t>Traditional_pct</t>
  </si>
  <si>
    <t>Helpful_pct</t>
  </si>
  <si>
    <t>Progressive_pct</t>
  </si>
  <si>
    <t>Best_Brand_pct</t>
  </si>
  <si>
    <t>Knowledge_C</t>
  </si>
  <si>
    <t>Esteem_C</t>
  </si>
  <si>
    <t>Relevance_C</t>
  </si>
  <si>
    <t>Differentiation_C</t>
  </si>
  <si>
    <t>Brand_Stature_C</t>
  </si>
  <si>
    <t>Brand_Strength_C</t>
  </si>
  <si>
    <t>Brand_Asset_C</t>
  </si>
  <si>
    <t>Knowledge_R</t>
  </si>
  <si>
    <t>Esteem_R</t>
  </si>
  <si>
    <t>Relevance_R</t>
  </si>
  <si>
    <t>Differentiation_R</t>
  </si>
  <si>
    <t>Brand_Stature_R</t>
  </si>
  <si>
    <t>Brand_Strength_R</t>
  </si>
  <si>
    <t>Brand_Asset_R</t>
  </si>
  <si>
    <t>Trustworthy_R</t>
  </si>
  <si>
    <t>Friendly_R</t>
  </si>
  <si>
    <t>Dynamic_R</t>
  </si>
  <si>
    <t>Unapproachable_R</t>
  </si>
  <si>
    <t>Distinctive_R</t>
  </si>
  <si>
    <t>High_Quality_R</t>
  </si>
  <si>
    <t>Authentic_R</t>
  </si>
  <si>
    <t>Innovative_R</t>
  </si>
  <si>
    <t>Good_Value_R</t>
  </si>
  <si>
    <t>Cares_Customers_R</t>
  </si>
  <si>
    <t>Original_R</t>
  </si>
  <si>
    <t>Arrogant_R</t>
  </si>
  <si>
    <t>Fun_R</t>
  </si>
  <si>
    <t>Reliable_R</t>
  </si>
  <si>
    <t>Prestigious_R</t>
  </si>
  <si>
    <t>Unique_R</t>
  </si>
  <si>
    <t>Different_R</t>
  </si>
  <si>
    <t>Stylish_R</t>
  </si>
  <si>
    <t>Straightforward_R</t>
  </si>
  <si>
    <t>Up_To_Date_R</t>
  </si>
  <si>
    <t>Traditional_R</t>
  </si>
  <si>
    <t>Helpful_R</t>
  </si>
  <si>
    <t>Progressive_R</t>
  </si>
  <si>
    <t>Best_Brand_R</t>
  </si>
  <si>
    <t>Base</t>
  </si>
  <si>
    <t>Down_to_Earth_pct</t>
  </si>
  <si>
    <t>Daring_pct</t>
  </si>
  <si>
    <t>Intelligent_pct</t>
  </si>
  <si>
    <t>Upper_Class_pct</t>
  </si>
  <si>
    <t>Restrained_pct</t>
  </si>
  <si>
    <t>Simple_pct</t>
  </si>
  <si>
    <t>Trendy_pct</t>
  </si>
  <si>
    <t>Glamorous_pct</t>
  </si>
  <si>
    <t>Healthy_pct</t>
  </si>
  <si>
    <t>Charming_pct</t>
  </si>
  <si>
    <t>Kind_pct</t>
  </si>
  <si>
    <t>Energetic_pct</t>
  </si>
  <si>
    <t>Leader_pct</t>
  </si>
  <si>
    <t>Rugged_pct</t>
  </si>
  <si>
    <t>Carefree_pct</t>
  </si>
  <si>
    <t>Obliging_pct</t>
  </si>
  <si>
    <t>Gaining_In_Popularity_pct</t>
  </si>
  <si>
    <t>High_Performance_pct</t>
  </si>
  <si>
    <t>Worth_More_pct</t>
  </si>
  <si>
    <t>Socially_Responsible_pct</t>
  </si>
  <si>
    <t>Social_pct</t>
  </si>
  <si>
    <t>Sensuous_pct</t>
  </si>
  <si>
    <t>Independent_pct</t>
  </si>
  <si>
    <t>Down_To_Earth_R</t>
  </si>
  <si>
    <t>Daring_R</t>
  </si>
  <si>
    <t>Intelligent_R</t>
  </si>
  <si>
    <t>Upper_Class_R</t>
  </si>
  <si>
    <t>Restrained_R</t>
  </si>
  <si>
    <t>Simple_R</t>
  </si>
  <si>
    <t>Trendy_R</t>
  </si>
  <si>
    <t>Glamorous_R</t>
  </si>
  <si>
    <t>Healthy_R</t>
  </si>
  <si>
    <t>Charming_R</t>
  </si>
  <si>
    <t>Kind_R</t>
  </si>
  <si>
    <t>Energetic_R</t>
  </si>
  <si>
    <t>Leader_R</t>
  </si>
  <si>
    <t>Rugged_R</t>
  </si>
  <si>
    <t>Carefree_R</t>
  </si>
  <si>
    <t>Obliging_R</t>
  </si>
  <si>
    <t>Gaining_in_Popularity_R</t>
  </si>
  <si>
    <t>High_Performance_R</t>
  </si>
  <si>
    <t>Worth_More_R</t>
  </si>
  <si>
    <t>Socially_Responsible_R</t>
  </si>
  <si>
    <t>Social_R</t>
  </si>
  <si>
    <t>Sensuous_R</t>
  </si>
  <si>
    <t>Independent_R</t>
  </si>
  <si>
    <t>Best_option_available_pct</t>
  </si>
  <si>
    <t>Recommend_to_a_friend_pct</t>
  </si>
  <si>
    <t>Meets_my_needs_completely_pct</t>
  </si>
  <si>
    <t>Resolves_conflicts_well_pct</t>
  </si>
  <si>
    <t>Want_my_business_pct</t>
  </si>
  <si>
    <t>Goes_out_of_its_way_pct</t>
  </si>
  <si>
    <t>Adapts_to_my_needs_pct</t>
  </si>
  <si>
    <t>Belong_to_a_club_pct</t>
  </si>
  <si>
    <t>Identify_with_other_users_pct</t>
  </si>
  <si>
    <t>Interested_learning_more_pct</t>
  </si>
  <si>
    <t>Interested_special_events_pct</t>
  </si>
  <si>
    <t>Worth_a_premium_price_pct</t>
  </si>
  <si>
    <t>Fairly_priced_pct</t>
  </si>
  <si>
    <t>Buy_on_sale_only_pct</t>
  </si>
  <si>
    <t>Strongest_relationship_pct</t>
  </si>
  <si>
    <t>Would_miss_if_went_away_pct</t>
  </si>
  <si>
    <t>Feel_loyal_pct</t>
  </si>
  <si>
    <t>DiagnosticsBase</t>
  </si>
  <si>
    <t>Wave</t>
  </si>
  <si>
    <t>Year</t>
  </si>
  <si>
    <t>Country</t>
  </si>
  <si>
    <t>Category_CD</t>
  </si>
  <si>
    <t>Brand_Key</t>
  </si>
  <si>
    <t>Category_Key</t>
  </si>
  <si>
    <t>BaseID</t>
  </si>
  <si>
    <t>BSS_ID</t>
  </si>
  <si>
    <t>Energy_C</t>
  </si>
  <si>
    <t>Energized_Differentiation_C</t>
  </si>
  <si>
    <t>Energy_R</t>
  </si>
  <si>
    <t>Energized_Differentiation_R</t>
  </si>
  <si>
    <t>Sector</t>
  </si>
  <si>
    <t>Brand Image Data</t>
  </si>
  <si>
    <t>Unadjusted</t>
  </si>
  <si>
    <t>Title</t>
  </si>
  <si>
    <t>Labels</t>
  </si>
  <si>
    <t>Brand ID</t>
  </si>
  <si>
    <t>Up to Date</t>
  </si>
  <si>
    <t>Down to Earth</t>
  </si>
  <si>
    <t>Gaining Popularity</t>
  </si>
  <si>
    <t>Sage</t>
  </si>
  <si>
    <t>Magician</t>
  </si>
  <si>
    <t>Warrior</t>
  </si>
  <si>
    <t>Jester</t>
  </si>
  <si>
    <t>Explorer</t>
  </si>
  <si>
    <t>Lover</t>
  </si>
  <si>
    <t>Enchantress</t>
  </si>
  <si>
    <t>Maiden</t>
  </si>
  <si>
    <t>Companion</t>
  </si>
  <si>
    <t>Earth Mother</t>
  </si>
  <si>
    <t>Patriarch</t>
  </si>
  <si>
    <t>Guardian</t>
  </si>
  <si>
    <t>MaxScore</t>
  </si>
  <si>
    <t>MaxType</t>
  </si>
  <si>
    <t>Type</t>
  </si>
  <si>
    <t>Vision</t>
  </si>
  <si>
    <t>Thought</t>
  </si>
  <si>
    <t>Emotion</t>
  </si>
  <si>
    <t>Substance</t>
  </si>
  <si>
    <t>ListNum</t>
  </si>
  <si>
    <t>X</t>
  </si>
  <si>
    <t>Y</t>
  </si>
  <si>
    <t>Competitive Universe for Re-Ranking</t>
  </si>
  <si>
    <t>Analysis Type</t>
  </si>
  <si>
    <t>G</t>
  </si>
  <si>
    <t>H</t>
  </si>
  <si>
    <t>I</t>
  </si>
  <si>
    <t>J</t>
  </si>
  <si>
    <t>L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</si>
  <si>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</si>
  <si>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</si>
  <si>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</si>
  <si>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</si>
  <si>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</si>
  <si>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</si>
  <si>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</si>
  <si>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</si>
  <si>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</si>
  <si>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</si>
  <si>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</si>
  <si>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</si>
  <si>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</si>
  <si>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</si>
  <si>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</si>
  <si>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</si>
  <si>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</si>
  <si>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</si>
  <si>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</si>
  <si>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</si>
  <si>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</si>
  <si>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</si>
  <si>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</si>
  <si>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</si>
  <si>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</si>
  <si>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</si>
  <si>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</si>
  <si>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</si>
  <si>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</si>
  <si>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</si>
  <si>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</si>
  <si>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</si>
  <si>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</si>
  <si>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</si>
  <si>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</si>
  <si>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</si>
  <si>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</si>
  <si>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</si>
  <si>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</si>
  <si>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</si>
  <si>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</si>
  <si>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</si>
  <si>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N° Factors:
N° Factores:</t>
  </si>
  <si>
    <t>Factor Loadings</t>
  </si>
  <si>
    <t>Factor Names:
Nombres Factores:</t>
  </si>
  <si>
    <t>Attributes / Atributos</t>
  </si>
  <si>
    <t>(Max 20)</t>
  </si>
  <si>
    <r>
      <t>Pasos / Steps</t>
    </r>
    <r>
      <rPr>
        <b/>
        <sz val="10"/>
        <color indexed="9"/>
        <rFont val="Arial"/>
        <family val="2"/>
      </rPr>
      <t xml:space="preserve">
Use "x" (Minuscula) para seleccionar los atributos / Use "x" (Lower case) to select attributes</t>
    </r>
  </si>
  <si>
    <t>Atributos / Attributes</t>
  </si>
  <si>
    <t xml:space="preserve">Esencia de Marca / Brand Essence </t>
  </si>
  <si>
    <t>Debilidad de Marca / Brand Opportunity</t>
  </si>
  <si>
    <t>x</t>
  </si>
  <si>
    <t>Castellano</t>
  </si>
  <si>
    <t>Seleccionar atributos que definen la esencia de la marca</t>
  </si>
  <si>
    <t>Seleccionar los atributos que se buscan potenciar con la alianza</t>
  </si>
  <si>
    <t>Ejecutar la Macro</t>
  </si>
  <si>
    <t>English</t>
  </si>
  <si>
    <t>Select the attributes that define the Essence of the Brand.</t>
  </si>
  <si>
    <t>Select the attributes that define the Brand Opportunity</t>
  </si>
  <si>
    <t>Run Macro</t>
  </si>
  <si>
    <t>No</t>
  </si>
  <si>
    <t>Pais/Country:</t>
  </si>
  <si>
    <t>N°</t>
  </si>
  <si>
    <t>Aálisis/Analysis</t>
  </si>
  <si>
    <t>Incluido/Included</t>
  </si>
  <si>
    <t>Brand Asset Data</t>
  </si>
  <si>
    <t>Grid DE-R</t>
  </si>
  <si>
    <t>Pillar Composition</t>
  </si>
  <si>
    <t>New Factors</t>
  </si>
  <si>
    <t>Attributes pct</t>
  </si>
  <si>
    <t>Attributes Ranked</t>
  </si>
  <si>
    <t>Image Drivers</t>
  </si>
  <si>
    <t>Category Musts</t>
  </si>
  <si>
    <t>Compare Brands Image</t>
  </si>
  <si>
    <t>Image Correlation</t>
  </si>
  <si>
    <t>Usage &amp; Consideration</t>
  </si>
  <si>
    <t>Normalizacion</t>
  </si>
  <si>
    <t>Corrida antes</t>
  </si>
  <si>
    <t>Pais</t>
  </si>
  <si>
    <t>ToolBox</t>
  </si>
  <si>
    <t>Brand_Base</t>
  </si>
  <si>
    <t>Unweighted_Brand_Base</t>
  </si>
  <si>
    <t>Usage_Preference_Brand_Base</t>
  </si>
  <si>
    <t>Use_Regularly_Use_pct</t>
  </si>
  <si>
    <t>Use_Occasionally_pct</t>
  </si>
  <si>
    <t>Lapsed_User_pct</t>
  </si>
  <si>
    <t>Never_Used_pct</t>
  </si>
  <si>
    <t>One_I_Prefer_pct</t>
  </si>
  <si>
    <t>One_of_several_pct</t>
  </si>
  <si>
    <t>Only_if_no_alternative_pct</t>
  </si>
  <si>
    <t>Would_never_consider_pct</t>
  </si>
  <si>
    <t>Total_Users_pct</t>
  </si>
  <si>
    <t>Total_Prefer_pct</t>
  </si>
  <si>
    <t>Visionary_pct</t>
  </si>
  <si>
    <t>Visionary_R</t>
  </si>
  <si>
    <t>Factor1_R</t>
  </si>
  <si>
    <t>Factor2_R</t>
  </si>
  <si>
    <t>Factor3_R</t>
  </si>
  <si>
    <t>Factor4_R</t>
  </si>
  <si>
    <t>Factor5_R</t>
  </si>
  <si>
    <t>Factor6_R</t>
  </si>
  <si>
    <t>Factor7_R</t>
  </si>
  <si>
    <t>Factor8_R</t>
  </si>
  <si>
    <t>Factor1_C</t>
  </si>
  <si>
    <t>Factor2_C</t>
  </si>
  <si>
    <t>Factor3_C</t>
  </si>
  <si>
    <t>Factor4_C</t>
  </si>
  <si>
    <t>Factor5_C</t>
  </si>
  <si>
    <t>Factor6_C</t>
  </si>
  <si>
    <t>Factor7_C</t>
  </si>
  <si>
    <t>Factor8_C</t>
  </si>
  <si>
    <t>My_kind_of_brand_pct</t>
  </si>
  <si>
    <t>One_of_my_favorite_brands_pct</t>
  </si>
  <si>
    <t>Community_Engage_C</t>
  </si>
  <si>
    <t>Product_Performance_C</t>
  </si>
  <si>
    <t>Treatment_Understand_C</t>
  </si>
  <si>
    <t>Visionary</t>
  </si>
  <si>
    <t>Factor1</t>
  </si>
  <si>
    <t>Factor2</t>
  </si>
  <si>
    <t>Factor3</t>
  </si>
  <si>
    <t>Factor4</t>
  </si>
  <si>
    <t>Factor5</t>
  </si>
  <si>
    <t>Factor6</t>
  </si>
  <si>
    <t>Factor7</t>
  </si>
  <si>
    <t>Factor8</t>
  </si>
  <si>
    <t>Factor9</t>
  </si>
  <si>
    <t>Factor10</t>
  </si>
  <si>
    <t>NoData</t>
  </si>
  <si>
    <t>Classic</t>
  </si>
  <si>
    <t>Superior</t>
  </si>
  <si>
    <t>Chic</t>
  </si>
  <si>
    <t>Customer Centered</t>
  </si>
  <si>
    <t>Personable</t>
  </si>
  <si>
    <t>Straight Shooter</t>
  </si>
  <si>
    <t>Distant</t>
  </si>
  <si>
    <t>Visión Progresista</t>
  </si>
  <si>
    <t>Liderazgo Tradicional</t>
  </si>
  <si>
    <t>Servicio Confiable</t>
  </si>
  <si>
    <t>Easy Going</t>
  </si>
  <si>
    <t>Al Grano</t>
  </si>
  <si>
    <t>Category Avgs.</t>
  </si>
  <si>
    <t>Category Attribute Drivers</t>
  </si>
  <si>
    <t>Category Factor Drivers</t>
  </si>
  <si>
    <t>ESPAÑA</t>
  </si>
  <si>
    <t>De confianza</t>
  </si>
  <si>
    <t>Inaccesible</t>
  </si>
  <si>
    <t>Buena relación calidad / precio</t>
  </si>
  <si>
    <t>Se preocupa por sus consumidores</t>
  </si>
  <si>
    <t>Fiable</t>
  </si>
  <si>
    <t>Que está al día</t>
  </si>
  <si>
    <t>Que ayuda</t>
  </si>
  <si>
    <t>La mejor de su categoría</t>
  </si>
  <si>
    <t>De clase alta</t>
  </si>
  <si>
    <t>Que está de moda</t>
  </si>
  <si>
    <t>Con Glamour</t>
  </si>
  <si>
    <t>Desenfadada</t>
  </si>
  <si>
    <t>Cada vez más popular</t>
  </si>
  <si>
    <t>Alto Rendimiento</t>
  </si>
  <si>
    <t>De calle</t>
  </si>
  <si>
    <t>Accesible</t>
  </si>
  <si>
    <t>Dimensión de Marca</t>
  </si>
  <si>
    <t>Vitalidad de Marca</t>
  </si>
  <si>
    <t>Uso / Compro habitualmente</t>
  </si>
  <si>
    <t>Uso / Compro ocasionalmente</t>
  </si>
  <si>
    <t>Usaba / Compraba antes, pero ya no</t>
  </si>
  <si>
    <t>Nunca he usado / comprado</t>
  </si>
  <si>
    <t>Me siento fiel / La uso cada vez que puedo</t>
  </si>
  <si>
    <t>Es la marca que prefiero usar / comprar</t>
  </si>
  <si>
    <t>Una de las marcas que consideraría usar / comprar</t>
  </si>
  <si>
    <t>Sólo la consideraría si no hubiese alternativa adecuada</t>
  </si>
  <si>
    <t>Nunca la consideraría como opción</t>
  </si>
  <si>
    <t>Drivers D-R Imagen</t>
  </si>
  <si>
    <t>Drivers D-R Personalidad</t>
  </si>
  <si>
    <t>Drivers E-R Imagen</t>
  </si>
  <si>
    <t>Drivers E-R Personalidad</t>
  </si>
  <si>
    <t>Aporte / Contribución</t>
  </si>
  <si>
    <t>Realista</t>
  </si>
  <si>
    <t>Sencilla</t>
  </si>
  <si>
    <t>España</t>
  </si>
  <si>
    <t>New Metrics</t>
  </si>
  <si>
    <t>Nuevas Métricas</t>
  </si>
  <si>
    <t>Use-Consider Metrics</t>
  </si>
  <si>
    <t>Métricas de Uso y Preferencia</t>
  </si>
  <si>
    <t>Ratio 1</t>
  </si>
  <si>
    <t>Emotional Commitment</t>
  </si>
  <si>
    <t>Ratio 2</t>
  </si>
  <si>
    <t>Behaviour Commitment</t>
  </si>
  <si>
    <t>Ratio 3</t>
  </si>
  <si>
    <t>Doesn't exist</t>
  </si>
  <si>
    <t>No existe</t>
  </si>
  <si>
    <t>Doesn' apply given the category</t>
  </si>
  <si>
    <t>No aplica dada la categoría</t>
  </si>
  <si>
    <t>Usage &amp; Consideration Metrics</t>
  </si>
  <si>
    <t>Métricas</t>
  </si>
  <si>
    <t>Brand Desire</t>
  </si>
  <si>
    <t>Visionaria</t>
  </si>
  <si>
    <t>Año</t>
  </si>
  <si>
    <t>País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</si>
</sst>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_P_t_s_-;\-* #,##0.00\ _P_t_s_-;_-* &quot;-&quot;??\ _P_t_s_-;_-@_-"/>
    <numFmt numFmtId="165" formatCode="0.0"/>
  </numFmts>
  <fonts count="2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color indexed="11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b/>
      <sz val="14"/>
      <color indexed="9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0"/>
      <name val="Century Gothic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8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95">
    <xf numFmtId="0" fontId="0" fillId="0" borderId="0" xfId="0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/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horizontal="left"/>
      <protection locked="0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5" fontId="0" fillId="0" borderId="0" xfId="0" applyNumberFormat="1"/>
    <xf numFmtId="165" fontId="0" fillId="0" borderId="0" xfId="0" applyNumberFormat="1" applyFill="1"/>
    <xf numFmtId="1" fontId="0" fillId="0" borderId="0" xfId="0" applyNumberFormat="1"/>
    <xf numFmtId="2" fontId="0" fillId="0" borderId="0" xfId="0" applyNumberFormat="1"/>
    <xf numFmtId="0" fontId="2" fillId="0" borderId="0" xfId="0" applyFont="1"/>
    <xf numFmtId="0" fontId="0" fillId="0" borderId="0" xfId="0" applyNumberFormat="1" applyAlignment="1" applyProtection="1">
      <alignment horizontal="right"/>
      <protection locked="0"/>
    </xf>
    <xf numFmtId="0" fontId="7" fillId="0" borderId="0" xfId="0" applyFont="1"/>
    <xf numFmtId="0" fontId="0" fillId="0" borderId="0" xfId="0" applyAlignment="1">
      <alignment horizontal="left" wrapText="1"/>
    </xf>
    <xf numFmtId="0" fontId="8" fillId="0" borderId="0" xfId="0" applyFont="1"/>
    <xf numFmtId="0" fontId="9" fillId="0" borderId="0" xfId="0" applyFont="1"/>
    <xf numFmtId="0" fontId="5" fillId="0" borderId="0" xfId="0" applyFont="1"/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10" fillId="0" borderId="2" xfId="0" applyFont="1" applyFill="1" applyBorder="1" applyAlignment="1">
      <alignment vertical="center"/>
    </xf>
    <xf numFmtId="0" fontId="10" fillId="0" borderId="3" xfId="0" applyFont="1" applyFill="1" applyBorder="1" applyAlignment="1">
      <alignment vertical="center"/>
    </xf>
    <xf numFmtId="0" fontId="10" fillId="0" borderId="4" xfId="0" applyFont="1" applyFill="1" applyBorder="1" applyAlignment="1">
      <alignment vertical="center"/>
    </xf>
    <xf numFmtId="0" fontId="10" fillId="0" borderId="0" xfId="0" applyFont="1" applyAlignment="1">
      <alignment wrapText="1"/>
    </xf>
    <xf numFmtId="0" fontId="5" fillId="0" borderId="5" xfId="0" applyFont="1" applyBorder="1" applyAlignment="1">
      <alignment horizontal="left"/>
    </xf>
    <xf numFmtId="0" fontId="10" fillId="0" borderId="1" xfId="0" applyFont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left"/>
    </xf>
    <xf numFmtId="0" fontId="5" fillId="0" borderId="9" xfId="0" applyFont="1" applyBorder="1"/>
    <xf numFmtId="164" fontId="5" fillId="0" borderId="10" xfId="1" applyFont="1" applyBorder="1"/>
    <xf numFmtId="164" fontId="5" fillId="0" borderId="11" xfId="1" applyFont="1" applyBorder="1"/>
    <xf numFmtId="0" fontId="5" fillId="0" borderId="11" xfId="0" applyFont="1" applyBorder="1"/>
    <xf numFmtId="0" fontId="11" fillId="0" borderId="11" xfId="0" applyFont="1" applyBorder="1" applyAlignment="1">
      <alignment horizontal="center"/>
    </xf>
    <xf numFmtId="0" fontId="5" fillId="0" borderId="12" xfId="0" applyFont="1" applyBorder="1"/>
    <xf numFmtId="164" fontId="5" fillId="0" borderId="13" xfId="1" applyFont="1" applyBorder="1"/>
    <xf numFmtId="164" fontId="5" fillId="0" borderId="0" xfId="1" applyFont="1" applyBorder="1"/>
    <xf numFmtId="0" fontId="5" fillId="0" borderId="0" xfId="0" applyFont="1" applyBorder="1"/>
    <xf numFmtId="0" fontId="11" fillId="0" borderId="0" xfId="0" applyFont="1" applyBorder="1" applyAlignment="1">
      <alignment horizontal="center"/>
    </xf>
    <xf numFmtId="0" fontId="5" fillId="0" borderId="14" xfId="0" applyFont="1" applyBorder="1"/>
    <xf numFmtId="0" fontId="5" fillId="0" borderId="9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5" xfId="0" applyFont="1" applyBorder="1"/>
    <xf numFmtId="164" fontId="5" fillId="0" borderId="2" xfId="1" applyFont="1" applyBorder="1"/>
    <xf numFmtId="164" fontId="5" fillId="0" borderId="3" xfId="1" applyFont="1" applyBorder="1"/>
    <xf numFmtId="0" fontId="5" fillId="0" borderId="3" xfId="0" applyFont="1" applyBorder="1"/>
    <xf numFmtId="0" fontId="11" fillId="0" borderId="3" xfId="0" applyFont="1" applyBorder="1" applyAlignment="1">
      <alignment horizontal="center"/>
    </xf>
    <xf numFmtId="0" fontId="5" fillId="0" borderId="4" xfId="0" applyFont="1" applyBorder="1"/>
    <xf numFmtId="0" fontId="0" fillId="4" borderId="0" xfId="0" applyFill="1" applyAlignment="1">
      <alignment horizontal="center"/>
    </xf>
    <xf numFmtId="0" fontId="0" fillId="4" borderId="0" xfId="0" applyFill="1"/>
    <xf numFmtId="0" fontId="0" fillId="4" borderId="0" xfId="0" applyFill="1" applyBorder="1" applyAlignment="1">
      <alignment horizontal="center"/>
    </xf>
    <xf numFmtId="0" fontId="0" fillId="4" borderId="0" xfId="0" applyFill="1" applyBorder="1"/>
    <xf numFmtId="0" fontId="2" fillId="5" borderId="16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/>
    </xf>
    <xf numFmtId="0" fontId="14" fillId="7" borderId="16" xfId="0" applyFont="1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14" fillId="7" borderId="0" xfId="0" applyFont="1" applyFill="1" applyBorder="1" applyAlignment="1">
      <alignment horizontal="center"/>
    </xf>
    <xf numFmtId="0" fontId="14" fillId="7" borderId="19" xfId="0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14" fillId="7" borderId="21" xfId="0" applyFont="1" applyFill="1" applyBorder="1" applyAlignment="1">
      <alignment horizontal="center"/>
    </xf>
    <xf numFmtId="0" fontId="14" fillId="7" borderId="22" xfId="0" applyFont="1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5" borderId="0" xfId="0" applyFill="1"/>
    <xf numFmtId="0" fontId="2" fillId="5" borderId="0" xfId="0" applyFont="1" applyFill="1"/>
    <xf numFmtId="0" fontId="2" fillId="4" borderId="0" xfId="0" applyFont="1" applyFill="1" applyAlignment="1">
      <alignment horizontal="center"/>
    </xf>
    <xf numFmtId="0" fontId="6" fillId="5" borderId="24" xfId="0" applyFont="1" applyFill="1" applyBorder="1" applyAlignment="1">
      <alignment horizontal="center"/>
    </xf>
    <xf numFmtId="0" fontId="6" fillId="4" borderId="25" xfId="0" applyFont="1" applyFill="1" applyBorder="1" applyAlignment="1">
      <alignment horizontal="center"/>
    </xf>
    <xf numFmtId="0" fontId="15" fillId="4" borderId="0" xfId="0" applyFont="1" applyFill="1"/>
    <xf numFmtId="0" fontId="2" fillId="5" borderId="0" xfId="0" applyFont="1" applyFill="1" applyAlignment="1">
      <alignment horizontal="center"/>
    </xf>
    <xf numFmtId="0" fontId="11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6" fillId="0" borderId="0" xfId="0" applyFont="1"/>
    <xf numFmtId="0" fontId="1" fillId="0" borderId="0" xfId="0" applyFont="1"/>
    <xf numFmtId="0" fontId="17" fillId="0" borderId="0" xfId="0" applyFont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0" fillId="0" borderId="10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12" xfId="0" applyFont="1" applyFill="1" applyBorder="1" applyAlignment="1">
      <alignment horizontal="center" vertical="center"/>
    </xf>
    <xf numFmtId="0" fontId="12" fillId="7" borderId="18" xfId="0" applyFont="1" applyFill="1" applyBorder="1" applyAlignment="1">
      <alignment horizontal="center" vertical="center" wrapText="1"/>
    </xf>
    <xf numFmtId="0" fontId="13" fillId="7" borderId="16" xfId="0" applyFont="1" applyFill="1" applyBorder="1" applyAlignment="1">
      <alignment horizontal="center" vertical="center" wrapText="1"/>
    </xf>
    <xf numFmtId="0" fontId="13" fillId="7" borderId="18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19050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Archetypes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0</xdr:row>
          <xdr:rowOff>142875</xdr:rowOff>
        </xdr:from>
        <xdr:to>
          <xdr:col>0</xdr:col>
          <xdr:colOff>3971925</xdr:colOff>
          <xdr:row>0</xdr:row>
          <xdr:rowOff>438150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Etiquetar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1733550</xdr:colOff>
          <xdr:row>0</xdr:row>
          <xdr:rowOff>142875</xdr:rowOff>
        </xdr:from>
        <xdr:to>
          <xdr:col>0</xdr:col>
          <xdr:colOff>3171825</xdr:colOff>
          <xdr:row>0</xdr:row>
          <xdr:rowOff>438150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Control Panel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0</xdr:row>
          <xdr:rowOff>133350</xdr:rowOff>
        </xdr:from>
        <xdr:to>
          <xdr:col>3</xdr:col>
          <xdr:colOff>209550</xdr:colOff>
          <xdr:row>3</xdr:row>
          <xdr:rowOff>57150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New Factors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1</xdr:row>
          <xdr:rowOff>47625</xdr:rowOff>
        </xdr:from>
        <xdr:to>
          <xdr:col>6</xdr:col>
          <xdr:colOff>666750</xdr:colOff>
          <xdr:row>2</xdr:row>
          <xdr:rowOff>66675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CB221"/>
  <sheetViews>
    <sheetView workbookViewId="0">
      <selection activeCell="B11" sqref="B11"/>
    </sheetView>
  </sheetViews>
  <sheetFormatPr defaultColWidth="11.42578125" defaultRowHeight="12.75" x14ac:dyDescent="0.2"/>
  <sheetData>
    <row r="1" spans="1:80" x14ac:dyDescent="0.2">
      <c r="A1" t="s">
        <v>591</v>
      </c>
      <c r="BF1" t="s">
        <v>592</v>
      </c>
    </row>
    <row r="2" spans="1:80" x14ac:dyDescent="0.2">
      <c r="A2" s="4" t="s">
        <v>593</v>
      </c>
    </row>
    <row r="3" spans="1:80" ht="25.5" x14ac:dyDescent="0.2">
      <c r="A3" s="5" t="s">
        <v>594</v>
      </c>
      <c r="B3" s="6" t="s">
        <v>424</v>
      </c>
      <c r="C3" s="6" t="s">
        <v>595</v>
      </c>
      <c r="D3" s="6" t="s">
        <v>580</v>
      </c>
      <c r="E3" s="6" t="s">
        <v>426</v>
      </c>
      <c r="F3" s="6" t="s">
        <v>11</v>
      </c>
      <c r="G3" s="6" t="s">
        <v>15</v>
      </c>
      <c r="H3" s="6" t="s">
        <v>19</v>
      </c>
      <c r="I3" s="6" t="s">
        <v>23</v>
      </c>
      <c r="J3" s="6" t="s">
        <v>28</v>
      </c>
      <c r="K3" s="6" t="s">
        <v>35</v>
      </c>
      <c r="L3" s="6" t="s">
        <v>40</v>
      </c>
      <c r="M3" s="6" t="s">
        <v>44</v>
      </c>
      <c r="N3" s="6" t="s">
        <v>48</v>
      </c>
      <c r="O3" s="6" t="s">
        <v>54</v>
      </c>
      <c r="P3" s="6" t="s">
        <v>59</v>
      </c>
      <c r="Q3" s="6" t="s">
        <v>60</v>
      </c>
      <c r="R3" s="6" t="s">
        <v>63</v>
      </c>
      <c r="S3" s="6" t="s">
        <v>66</v>
      </c>
      <c r="T3" s="6" t="s">
        <v>70</v>
      </c>
      <c r="U3" s="6" t="s">
        <v>74</v>
      </c>
      <c r="V3" s="6" t="s">
        <v>77</v>
      </c>
      <c r="W3" s="6" t="s">
        <v>79</v>
      </c>
      <c r="X3" s="6" t="s">
        <v>84</v>
      </c>
      <c r="Y3" s="6" t="s">
        <v>596</v>
      </c>
      <c r="Z3" s="6" t="s">
        <v>95</v>
      </c>
      <c r="AA3" s="6" t="s">
        <v>97</v>
      </c>
      <c r="AB3" s="6" t="s">
        <v>100</v>
      </c>
      <c r="AC3" s="6" t="s">
        <v>106</v>
      </c>
      <c r="AD3" s="6" t="s">
        <v>597</v>
      </c>
      <c r="AE3" s="6" t="s">
        <v>117</v>
      </c>
      <c r="AF3" s="6" t="s">
        <v>121</v>
      </c>
      <c r="AG3" s="6" t="s">
        <v>124</v>
      </c>
      <c r="AH3" s="6" t="s">
        <v>220</v>
      </c>
      <c r="AI3" s="6" t="s">
        <v>131</v>
      </c>
      <c r="AJ3" s="6" t="s">
        <v>135</v>
      </c>
      <c r="AK3" s="6" t="s">
        <v>138</v>
      </c>
      <c r="AL3" s="6" t="s">
        <v>143</v>
      </c>
      <c r="AM3" s="6" t="s">
        <v>216</v>
      </c>
      <c r="AN3" s="6" t="s">
        <v>149</v>
      </c>
      <c r="AO3" s="6" t="s">
        <v>219</v>
      </c>
      <c r="AP3" s="6" t="s">
        <v>152</v>
      </c>
      <c r="AQ3" s="6" t="s">
        <v>156</v>
      </c>
      <c r="AR3" s="6" t="s">
        <v>158</v>
      </c>
      <c r="AS3" s="6" t="s">
        <v>162</v>
      </c>
      <c r="AT3" s="6" t="s">
        <v>167</v>
      </c>
      <c r="AU3" s="6" t="s">
        <v>169</v>
      </c>
      <c r="AV3" s="6" t="s">
        <v>174</v>
      </c>
      <c r="AW3" s="6" t="s">
        <v>222</v>
      </c>
      <c r="AX3" s="6" t="s">
        <v>180</v>
      </c>
      <c r="AY3" s="6" t="s">
        <v>598</v>
      </c>
      <c r="AZ3" s="6" t="s">
        <v>192</v>
      </c>
      <c r="BA3" s="6" t="s">
        <v>198</v>
      </c>
      <c r="BB3" s="6" t="s">
        <v>203</v>
      </c>
      <c r="BC3" s="6" t="s">
        <v>208</v>
      </c>
      <c r="BD3" s="6" t="s">
        <v>211</v>
      </c>
      <c r="BE3" s="6" t="s">
        <v>213</v>
      </c>
      <c r="BF3" s="5" t="s">
        <v>599</v>
      </c>
      <c r="BG3" s="5" t="s">
        <v>600</v>
      </c>
      <c r="BH3" s="7" t="s">
        <v>601</v>
      </c>
      <c r="BI3" s="5" t="s">
        <v>602</v>
      </c>
      <c r="BJ3" s="7" t="s">
        <v>603</v>
      </c>
      <c r="BK3" s="7" t="s">
        <v>604</v>
      </c>
      <c r="BL3" s="5" t="s">
        <v>605</v>
      </c>
      <c r="BM3" s="5" t="s">
        <v>606</v>
      </c>
      <c r="BN3" s="5" t="s">
        <v>607</v>
      </c>
      <c r="BO3" s="8" t="s">
        <v>608</v>
      </c>
      <c r="BP3" s="7" t="s">
        <v>609</v>
      </c>
      <c r="BQ3" s="5" t="s">
        <v>610</v>
      </c>
      <c r="BR3" s="9" t="s">
        <v>611</v>
      </c>
      <c r="BS3" s="9" t="s">
        <v>612</v>
      </c>
      <c r="BT3" s="9" t="s">
        <v>613</v>
      </c>
      <c r="BU3" s="7" t="s">
        <v>614</v>
      </c>
      <c r="BV3" s="7" t="s">
        <v>615</v>
      </c>
      <c r="BW3" s="7" t="s">
        <v>443</v>
      </c>
      <c r="BX3" s="7" t="s">
        <v>616</v>
      </c>
      <c r="BY3" s="7" t="s">
        <v>617</v>
      </c>
      <c r="BZ3" s="7" t="s">
        <v>618</v>
      </c>
      <c r="CA3" s="10" t="s">
        <v>619</v>
      </c>
      <c r="CB3" s="10" t="s">
        <v>620</v>
      </c>
    </row>
    <row r="4" spans="1:80" x14ac:dyDescent="0.2">
      <c r="D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2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3"/>
      <c r="BT4" s="14"/>
      <c r="BU4" s="11"/>
      <c r="BV4" s="11"/>
      <c r="BW4" s="11"/>
      <c r="BX4" s="11"/>
      <c r="BY4" s="11"/>
      <c r="BZ4" s="13"/>
    </row>
    <row r="5" spans="1:80" x14ac:dyDescent="0.2">
      <c r="D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2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3"/>
      <c r="BT5" s="14"/>
      <c r="BU5" s="11"/>
      <c r="BV5" s="11"/>
      <c r="BW5" s="11"/>
      <c r="BX5" s="11"/>
      <c r="BY5" s="11"/>
      <c r="BZ5" s="13"/>
    </row>
    <row r="6" spans="1:80" x14ac:dyDescent="0.2">
      <c r="D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2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3"/>
      <c r="BT6" s="14"/>
      <c r="BU6" s="11"/>
      <c r="BV6" s="11"/>
      <c r="BW6" s="11"/>
      <c r="BX6" s="11"/>
      <c r="BY6" s="11"/>
      <c r="BZ6" s="13"/>
    </row>
    <row r="7" spans="1:80" x14ac:dyDescent="0.2">
      <c r="D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2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3"/>
      <c r="BT7" s="14"/>
      <c r="BU7" s="11"/>
      <c r="BV7" s="11"/>
      <c r="BW7" s="11"/>
      <c r="BX7" s="11"/>
      <c r="BY7" s="11"/>
      <c r="BZ7" s="13"/>
    </row>
    <row r="8" spans="1:80" x14ac:dyDescent="0.2">
      <c r="D8" s="11"/>
      <c r="F8" s="11"/>
      <c r="G8" s="11"/>
      <c r="H8" s="11"/>
      <c r="I8" s="11"/>
      <c r="J8" s="11"/>
      <c r="K8" s="11"/>
      <c r="L8" s="11"/>
      <c r="M8" s="11"/>
      <c r="N8" s="11"/>
      <c r="O8" s="12"/>
      <c r="P8" s="11"/>
      <c r="Q8" s="11"/>
      <c r="R8" s="11"/>
      <c r="S8" s="11"/>
      <c r="T8" s="11"/>
      <c r="U8" s="12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3"/>
      <c r="BT8" s="14"/>
      <c r="BU8" s="11"/>
      <c r="BV8" s="11"/>
      <c r="BW8" s="11"/>
      <c r="BX8" s="11"/>
      <c r="BY8" s="11"/>
      <c r="BZ8" s="13"/>
    </row>
    <row r="9" spans="1:80" x14ac:dyDescent="0.2">
      <c r="D9" s="11"/>
      <c r="F9" s="11"/>
      <c r="G9" s="11"/>
      <c r="H9" s="11"/>
      <c r="I9" s="11"/>
      <c r="J9" s="11"/>
      <c r="K9" s="11"/>
      <c r="L9" s="11"/>
      <c r="M9" s="11"/>
      <c r="N9" s="11"/>
      <c r="O9" s="12"/>
      <c r="P9" s="11"/>
      <c r="Q9" s="11"/>
      <c r="R9" s="11"/>
      <c r="S9" s="11"/>
      <c r="T9" s="11"/>
      <c r="U9" s="12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3"/>
      <c r="BT9" s="14"/>
      <c r="BU9" s="11"/>
      <c r="BV9" s="11"/>
      <c r="BW9" s="11"/>
      <c r="BX9" s="11"/>
      <c r="BY9" s="11"/>
      <c r="BZ9" s="13"/>
    </row>
    <row r="10" spans="1:80" x14ac:dyDescent="0.2">
      <c r="D10" s="11"/>
      <c r="F10" s="11"/>
      <c r="G10" s="11"/>
      <c r="H10" s="11"/>
      <c r="I10" s="11"/>
      <c r="J10" s="11"/>
      <c r="K10" s="11"/>
      <c r="L10" s="11"/>
      <c r="M10" s="11"/>
      <c r="N10" s="11"/>
      <c r="O10" s="12"/>
      <c r="P10" s="11"/>
      <c r="Q10" s="11"/>
      <c r="R10" s="11"/>
      <c r="S10" s="11"/>
      <c r="T10" s="11"/>
      <c r="U10" s="12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3"/>
      <c r="BT10" s="14"/>
      <c r="BU10" s="11"/>
      <c r="BV10" s="11"/>
      <c r="BW10" s="11"/>
      <c r="BX10" s="11"/>
      <c r="BY10" s="11"/>
      <c r="BZ10" s="13"/>
    </row>
    <row r="11" spans="1:80" x14ac:dyDescent="0.2">
      <c r="D11" s="11"/>
      <c r="F11" s="11"/>
      <c r="G11" s="11"/>
      <c r="H11" s="11"/>
      <c r="I11" s="11"/>
      <c r="J11" s="11"/>
      <c r="K11" s="11"/>
      <c r="L11" s="11"/>
      <c r="M11" s="11"/>
      <c r="N11" s="11"/>
      <c r="O11" s="12"/>
      <c r="P11" s="11"/>
      <c r="Q11" s="11"/>
      <c r="R11" s="11"/>
      <c r="S11" s="11"/>
      <c r="T11" s="11"/>
      <c r="U11" s="12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3"/>
      <c r="BT11" s="14"/>
      <c r="BU11" s="11"/>
      <c r="BV11" s="11"/>
      <c r="BW11" s="11"/>
      <c r="BX11" s="11"/>
      <c r="BY11" s="11"/>
      <c r="BZ11" s="13"/>
    </row>
    <row r="12" spans="1:80" x14ac:dyDescent="0.2">
      <c r="D12" s="11"/>
      <c r="F12" s="11"/>
      <c r="G12" s="11"/>
      <c r="H12" s="11"/>
      <c r="I12" s="11"/>
      <c r="J12" s="11"/>
      <c r="K12" s="11"/>
      <c r="L12" s="11"/>
      <c r="M12" s="11"/>
      <c r="N12" s="11"/>
      <c r="O12" s="12"/>
      <c r="P12" s="11"/>
      <c r="Q12" s="11"/>
      <c r="R12" s="11"/>
      <c r="S12" s="11"/>
      <c r="T12" s="11"/>
      <c r="U12" s="12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3"/>
      <c r="BT12" s="14"/>
      <c r="BU12" s="11"/>
      <c r="BV12" s="11"/>
      <c r="BW12" s="11"/>
      <c r="BX12" s="11"/>
      <c r="BY12" s="11"/>
      <c r="BZ12" s="13"/>
    </row>
    <row r="13" spans="1:80" x14ac:dyDescent="0.2">
      <c r="D13" s="11"/>
      <c r="F13" s="11"/>
      <c r="G13" s="11"/>
      <c r="H13" s="11"/>
      <c r="I13" s="11"/>
      <c r="J13" s="11"/>
      <c r="K13" s="11"/>
      <c r="L13" s="11"/>
      <c r="M13" s="11"/>
      <c r="N13" s="11"/>
      <c r="O13" s="12"/>
      <c r="P13" s="11"/>
      <c r="Q13" s="11"/>
      <c r="R13" s="11"/>
      <c r="S13" s="11"/>
      <c r="T13" s="11"/>
      <c r="U13" s="12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3"/>
      <c r="BT13" s="14"/>
      <c r="BU13" s="11"/>
      <c r="BV13" s="11"/>
      <c r="BW13" s="11"/>
      <c r="BX13" s="11"/>
      <c r="BY13" s="11"/>
      <c r="BZ13" s="13"/>
    </row>
    <row r="14" spans="1:80" x14ac:dyDescent="0.2">
      <c r="D14" s="11"/>
      <c r="F14" s="11"/>
      <c r="G14" s="11"/>
      <c r="H14" s="11"/>
      <c r="I14" s="11"/>
      <c r="J14" s="11"/>
      <c r="K14" s="11"/>
      <c r="L14" s="11"/>
      <c r="M14" s="11"/>
      <c r="N14" s="11"/>
      <c r="O14" s="12"/>
      <c r="P14" s="11"/>
      <c r="Q14" s="11"/>
      <c r="R14" s="11"/>
      <c r="S14" s="11"/>
      <c r="T14" s="11"/>
      <c r="U14" s="12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3"/>
      <c r="BT14" s="14"/>
      <c r="BU14" s="11"/>
      <c r="BV14" s="11"/>
      <c r="BW14" s="11"/>
      <c r="BX14" s="11"/>
      <c r="BY14" s="11"/>
      <c r="BZ14" s="13"/>
    </row>
    <row r="15" spans="1:80" x14ac:dyDescent="0.2">
      <c r="D15" s="11"/>
      <c r="F15" s="11"/>
      <c r="G15" s="11"/>
      <c r="H15" s="11"/>
      <c r="I15" s="11"/>
      <c r="J15" s="11"/>
      <c r="K15" s="11"/>
      <c r="L15" s="11"/>
      <c r="M15" s="11"/>
      <c r="N15" s="11"/>
      <c r="O15" s="12"/>
      <c r="P15" s="11"/>
      <c r="Q15" s="11"/>
      <c r="R15" s="11"/>
      <c r="S15" s="11"/>
      <c r="T15" s="11"/>
      <c r="U15" s="12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3"/>
      <c r="BT15" s="14"/>
      <c r="BU15" s="11"/>
      <c r="BV15" s="11"/>
      <c r="BW15" s="11"/>
      <c r="BX15" s="11"/>
      <c r="BY15" s="11"/>
      <c r="BZ15" s="13"/>
    </row>
    <row r="16" spans="1:80" x14ac:dyDescent="0.2">
      <c r="D16" s="11"/>
      <c r="F16" s="11"/>
      <c r="G16" s="11"/>
      <c r="H16" s="11"/>
      <c r="I16" s="11"/>
      <c r="J16" s="11"/>
      <c r="K16" s="11"/>
      <c r="L16" s="11"/>
      <c r="M16" s="11"/>
      <c r="N16" s="11"/>
      <c r="O16" s="12"/>
      <c r="P16" s="11"/>
      <c r="Q16" s="11"/>
      <c r="R16" s="11"/>
      <c r="S16" s="11"/>
      <c r="T16" s="11"/>
      <c r="U16" s="12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3"/>
      <c r="BT16" s="14"/>
      <c r="BU16" s="11"/>
      <c r="BV16" s="11"/>
      <c r="BW16" s="11"/>
      <c r="BX16" s="11"/>
      <c r="BY16" s="11"/>
      <c r="BZ16" s="13"/>
    </row>
    <row r="17" spans="4:78" x14ac:dyDescent="0.2">
      <c r="D17" s="11"/>
      <c r="F17" s="11"/>
      <c r="G17" s="11"/>
      <c r="H17" s="11"/>
      <c r="I17" s="11"/>
      <c r="J17" s="11"/>
      <c r="K17" s="11"/>
      <c r="L17" s="11"/>
      <c r="M17" s="11"/>
      <c r="N17" s="11"/>
      <c r="O17" s="12"/>
      <c r="P17" s="11"/>
      <c r="Q17" s="11"/>
      <c r="R17" s="11"/>
      <c r="S17" s="11"/>
      <c r="T17" s="11"/>
      <c r="U17" s="12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3"/>
      <c r="BT17" s="14"/>
      <c r="BU17" s="11"/>
      <c r="BV17" s="11"/>
      <c r="BW17" s="11"/>
      <c r="BX17" s="11"/>
      <c r="BY17" s="11"/>
      <c r="BZ17" s="13"/>
    </row>
    <row r="18" spans="4:78" x14ac:dyDescent="0.2">
      <c r="D18" s="11"/>
      <c r="F18" s="11"/>
      <c r="G18" s="11"/>
      <c r="H18" s="11"/>
      <c r="I18" s="11"/>
      <c r="J18" s="11"/>
      <c r="K18" s="11"/>
      <c r="L18" s="11"/>
      <c r="M18" s="11"/>
      <c r="N18" s="11"/>
      <c r="O18" s="12"/>
      <c r="P18" s="11"/>
      <c r="Q18" s="11"/>
      <c r="R18" s="11"/>
      <c r="S18" s="11"/>
      <c r="T18" s="11"/>
      <c r="U18" s="12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3"/>
      <c r="BT18" s="14"/>
      <c r="BU18" s="11"/>
      <c r="BV18" s="11"/>
      <c r="BW18" s="11"/>
      <c r="BX18" s="11"/>
      <c r="BY18" s="11"/>
      <c r="BZ18" s="13"/>
    </row>
    <row r="19" spans="4:78" x14ac:dyDescent="0.2">
      <c r="D19" s="11"/>
      <c r="F19" s="11"/>
      <c r="G19" s="11"/>
      <c r="H19" s="11"/>
      <c r="I19" s="11"/>
      <c r="J19" s="11"/>
      <c r="K19" s="11"/>
      <c r="L19" s="11"/>
      <c r="M19" s="11"/>
      <c r="N19" s="11"/>
      <c r="O19" s="12"/>
      <c r="P19" s="11"/>
      <c r="Q19" s="11"/>
      <c r="R19" s="11"/>
      <c r="S19" s="11"/>
      <c r="T19" s="11"/>
      <c r="U19" s="12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3"/>
      <c r="BT19" s="14"/>
      <c r="BU19" s="11"/>
      <c r="BV19" s="11"/>
      <c r="BW19" s="11"/>
      <c r="BX19" s="11"/>
      <c r="BY19" s="11"/>
      <c r="BZ19" s="13"/>
    </row>
    <row r="20" spans="4:78" x14ac:dyDescent="0.2">
      <c r="D20" s="11"/>
      <c r="F20" s="11"/>
      <c r="G20" s="11"/>
      <c r="H20" s="11"/>
      <c r="I20" s="11"/>
      <c r="J20" s="11"/>
      <c r="K20" s="11"/>
      <c r="L20" s="11"/>
      <c r="M20" s="11"/>
      <c r="N20" s="11"/>
      <c r="O20" s="12"/>
      <c r="P20" s="11"/>
      <c r="Q20" s="11"/>
      <c r="R20" s="11"/>
      <c r="S20" s="11"/>
      <c r="T20" s="11"/>
      <c r="U20" s="12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3"/>
      <c r="BT20" s="14"/>
      <c r="BU20" s="11"/>
      <c r="BV20" s="11"/>
      <c r="BW20" s="11"/>
      <c r="BX20" s="11"/>
      <c r="BY20" s="11"/>
      <c r="BZ20" s="13"/>
    </row>
    <row r="21" spans="4:78" x14ac:dyDescent="0.2">
      <c r="D21" s="11"/>
      <c r="F21" s="11"/>
      <c r="G21" s="11"/>
      <c r="H21" s="11"/>
      <c r="I21" s="11"/>
      <c r="J21" s="11"/>
      <c r="K21" s="11"/>
      <c r="L21" s="11"/>
      <c r="M21" s="11"/>
      <c r="N21" s="11"/>
      <c r="O21" s="12"/>
      <c r="P21" s="11"/>
      <c r="Q21" s="11"/>
      <c r="R21" s="11"/>
      <c r="S21" s="11"/>
      <c r="T21" s="11"/>
      <c r="U21" s="12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3"/>
      <c r="BT21" s="14"/>
      <c r="BU21" s="11"/>
      <c r="BV21" s="11"/>
      <c r="BW21" s="11"/>
      <c r="BX21" s="11"/>
      <c r="BY21" s="11"/>
      <c r="BZ21" s="13"/>
    </row>
    <row r="22" spans="4:78" x14ac:dyDescent="0.2">
      <c r="D22" s="11"/>
      <c r="F22" s="11"/>
      <c r="G22" s="11"/>
      <c r="H22" s="11"/>
      <c r="I22" s="11"/>
      <c r="J22" s="11"/>
      <c r="K22" s="11"/>
      <c r="L22" s="11"/>
      <c r="M22" s="11"/>
      <c r="N22" s="11"/>
      <c r="O22" s="12"/>
      <c r="P22" s="11"/>
      <c r="Q22" s="11"/>
      <c r="R22" s="11"/>
      <c r="S22" s="11"/>
      <c r="T22" s="11"/>
      <c r="U22" s="12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3"/>
      <c r="BT22" s="14"/>
      <c r="BU22" s="11"/>
      <c r="BV22" s="11"/>
      <c r="BW22" s="11"/>
      <c r="BX22" s="11"/>
      <c r="BY22" s="11"/>
      <c r="BZ22" s="13"/>
    </row>
    <row r="23" spans="4:78" x14ac:dyDescent="0.2">
      <c r="D23" s="11"/>
      <c r="F23" s="11"/>
      <c r="G23" s="11"/>
      <c r="H23" s="11"/>
      <c r="I23" s="11"/>
      <c r="J23" s="11"/>
      <c r="K23" s="11"/>
      <c r="L23" s="11"/>
      <c r="M23" s="11"/>
      <c r="N23" s="11"/>
      <c r="O23" s="12"/>
      <c r="P23" s="11"/>
      <c r="Q23" s="11"/>
      <c r="R23" s="11"/>
      <c r="S23" s="11"/>
      <c r="T23" s="11"/>
      <c r="U23" s="12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3"/>
      <c r="BT23" s="14"/>
      <c r="BU23" s="11"/>
      <c r="BV23" s="11"/>
      <c r="BW23" s="11"/>
      <c r="BX23" s="11"/>
      <c r="BY23" s="11"/>
      <c r="BZ23" s="13"/>
    </row>
    <row r="24" spans="4:78" x14ac:dyDescent="0.2">
      <c r="D24" s="11"/>
      <c r="F24" s="11"/>
      <c r="G24" s="11"/>
      <c r="H24" s="11"/>
      <c r="I24" s="11"/>
      <c r="J24" s="11"/>
      <c r="K24" s="11"/>
      <c r="L24" s="11"/>
      <c r="M24" s="11"/>
      <c r="N24" s="11"/>
      <c r="O24" s="12"/>
      <c r="P24" s="11"/>
      <c r="Q24" s="11"/>
      <c r="R24" s="11"/>
      <c r="S24" s="11"/>
      <c r="T24" s="11"/>
      <c r="U24" s="1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3"/>
      <c r="BT24" s="14"/>
      <c r="BU24" s="11"/>
      <c r="BV24" s="11"/>
      <c r="BW24" s="11"/>
      <c r="BX24" s="11"/>
      <c r="BY24" s="11"/>
      <c r="BZ24" s="13"/>
    </row>
    <row r="25" spans="4:78" x14ac:dyDescent="0.2">
      <c r="D25" s="11"/>
      <c r="F25" s="11"/>
      <c r="G25" s="11"/>
      <c r="H25" s="11"/>
      <c r="I25" s="11"/>
      <c r="J25" s="11"/>
      <c r="K25" s="11"/>
      <c r="L25" s="11"/>
      <c r="M25" s="11"/>
      <c r="N25" s="11"/>
      <c r="O25" s="12"/>
      <c r="P25" s="11"/>
      <c r="Q25" s="11"/>
      <c r="R25" s="11"/>
      <c r="S25" s="11"/>
      <c r="T25" s="11"/>
      <c r="U25" s="12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3"/>
      <c r="BT25" s="14"/>
      <c r="BU25" s="11"/>
      <c r="BV25" s="11"/>
      <c r="BW25" s="11"/>
      <c r="BX25" s="11"/>
      <c r="BY25" s="11"/>
      <c r="BZ25" s="13"/>
    </row>
    <row r="26" spans="4:78" x14ac:dyDescent="0.2">
      <c r="D26" s="11"/>
      <c r="F26" s="11"/>
      <c r="G26" s="11"/>
      <c r="H26" s="11"/>
      <c r="I26" s="11"/>
      <c r="J26" s="11"/>
      <c r="K26" s="11"/>
      <c r="L26" s="11"/>
      <c r="M26" s="11"/>
      <c r="N26" s="11"/>
      <c r="O26" s="12"/>
      <c r="P26" s="11"/>
      <c r="Q26" s="11"/>
      <c r="R26" s="11"/>
      <c r="S26" s="11"/>
      <c r="T26" s="11"/>
      <c r="U26" s="12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3"/>
      <c r="BT26" s="14"/>
      <c r="BU26" s="11"/>
      <c r="BV26" s="11"/>
      <c r="BW26" s="11"/>
      <c r="BX26" s="11"/>
      <c r="BY26" s="11"/>
      <c r="BZ26" s="13"/>
    </row>
    <row r="27" spans="4:78" x14ac:dyDescent="0.2">
      <c r="D27" s="11"/>
      <c r="F27" s="11"/>
      <c r="G27" s="11"/>
      <c r="H27" s="11"/>
      <c r="I27" s="11"/>
      <c r="J27" s="11"/>
      <c r="K27" s="11"/>
      <c r="L27" s="11"/>
      <c r="M27" s="11"/>
      <c r="N27" s="11"/>
      <c r="O27" s="12"/>
      <c r="P27" s="11"/>
      <c r="Q27" s="11"/>
      <c r="R27" s="11"/>
      <c r="S27" s="11"/>
      <c r="T27" s="11"/>
      <c r="U27" s="12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3"/>
      <c r="BT27" s="14"/>
      <c r="BU27" s="11"/>
      <c r="BV27" s="11"/>
      <c r="BW27" s="11"/>
      <c r="BX27" s="11"/>
      <c r="BY27" s="11"/>
      <c r="BZ27" s="13"/>
    </row>
    <row r="28" spans="4:78" x14ac:dyDescent="0.2">
      <c r="D28" s="11"/>
      <c r="F28" s="11"/>
      <c r="G28" s="11"/>
      <c r="H28" s="11"/>
      <c r="I28" s="11"/>
      <c r="J28" s="11"/>
      <c r="K28" s="11"/>
      <c r="L28" s="11"/>
      <c r="M28" s="11"/>
      <c r="N28" s="11"/>
      <c r="O28" s="12"/>
      <c r="P28" s="11"/>
      <c r="Q28" s="11"/>
      <c r="R28" s="11"/>
      <c r="S28" s="11"/>
      <c r="T28" s="11"/>
      <c r="U28" s="12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3"/>
      <c r="BT28" s="14"/>
      <c r="BU28" s="11"/>
      <c r="BV28" s="11"/>
      <c r="BW28" s="11"/>
      <c r="BX28" s="11"/>
      <c r="BY28" s="11"/>
      <c r="BZ28" s="13"/>
    </row>
    <row r="29" spans="4:78" x14ac:dyDescent="0.2">
      <c r="D29" s="11"/>
      <c r="F29" s="11"/>
      <c r="G29" s="11"/>
      <c r="H29" s="11"/>
      <c r="I29" s="11"/>
      <c r="J29" s="11"/>
      <c r="K29" s="11"/>
      <c r="L29" s="11"/>
      <c r="M29" s="11"/>
      <c r="N29" s="11"/>
      <c r="O29" s="12"/>
      <c r="P29" s="11"/>
      <c r="Q29" s="11"/>
      <c r="R29" s="11"/>
      <c r="S29" s="11"/>
      <c r="T29" s="11"/>
      <c r="U29" s="12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3"/>
      <c r="BT29" s="14"/>
      <c r="BU29" s="11"/>
      <c r="BV29" s="11"/>
      <c r="BW29" s="11"/>
      <c r="BX29" s="11"/>
      <c r="BY29" s="11"/>
      <c r="BZ29" s="13"/>
    </row>
    <row r="30" spans="4:78" x14ac:dyDescent="0.2">
      <c r="D30" s="11"/>
      <c r="F30" s="11"/>
      <c r="G30" s="11"/>
      <c r="H30" s="11"/>
      <c r="I30" s="11"/>
      <c r="J30" s="11"/>
      <c r="K30" s="11"/>
      <c r="L30" s="11"/>
      <c r="M30" s="11"/>
      <c r="N30" s="11"/>
      <c r="O30" s="12"/>
      <c r="P30" s="11"/>
      <c r="Q30" s="11"/>
      <c r="R30" s="11"/>
      <c r="S30" s="11"/>
      <c r="T30" s="11"/>
      <c r="U30" s="12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3"/>
      <c r="BT30" s="14"/>
      <c r="BU30" s="11"/>
      <c r="BV30" s="11"/>
      <c r="BW30" s="11"/>
      <c r="BX30" s="11"/>
      <c r="BY30" s="11"/>
      <c r="BZ30" s="13"/>
    </row>
    <row r="31" spans="4:78" x14ac:dyDescent="0.2">
      <c r="D31" s="11"/>
      <c r="F31" s="11"/>
      <c r="G31" s="11"/>
      <c r="H31" s="11"/>
      <c r="I31" s="11"/>
      <c r="J31" s="11"/>
      <c r="K31" s="11"/>
      <c r="L31" s="11"/>
      <c r="M31" s="11"/>
      <c r="N31" s="11"/>
      <c r="O31" s="12"/>
      <c r="P31" s="11"/>
      <c r="Q31" s="11"/>
      <c r="R31" s="11"/>
      <c r="S31" s="11"/>
      <c r="T31" s="11"/>
      <c r="U31" s="12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3"/>
      <c r="BT31" s="14"/>
      <c r="BU31" s="11"/>
      <c r="BV31" s="11"/>
      <c r="BW31" s="11"/>
      <c r="BX31" s="11"/>
      <c r="BY31" s="11"/>
      <c r="BZ31" s="13"/>
    </row>
    <row r="32" spans="4:78" x14ac:dyDescent="0.2">
      <c r="D32" s="11"/>
      <c r="F32" s="11"/>
      <c r="G32" s="11"/>
      <c r="H32" s="11"/>
      <c r="I32" s="11"/>
      <c r="J32" s="11"/>
      <c r="K32" s="11"/>
      <c r="L32" s="11"/>
      <c r="M32" s="11"/>
      <c r="N32" s="11"/>
      <c r="O32" s="12"/>
      <c r="P32" s="11"/>
      <c r="Q32" s="11"/>
      <c r="R32" s="11"/>
      <c r="S32" s="11"/>
      <c r="T32" s="11"/>
      <c r="U32" s="12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3"/>
      <c r="BT32" s="14"/>
      <c r="BU32" s="11"/>
      <c r="BV32" s="11"/>
      <c r="BW32" s="11"/>
      <c r="BX32" s="11"/>
      <c r="BY32" s="11"/>
      <c r="BZ32" s="13"/>
    </row>
    <row r="33" spans="4:78" x14ac:dyDescent="0.2">
      <c r="D33" s="11"/>
      <c r="F33" s="11"/>
      <c r="G33" s="11"/>
      <c r="H33" s="11"/>
      <c r="I33" s="11"/>
      <c r="J33" s="11"/>
      <c r="K33" s="11"/>
      <c r="L33" s="11"/>
      <c r="M33" s="11"/>
      <c r="N33" s="11"/>
      <c r="O33" s="12"/>
      <c r="P33" s="11"/>
      <c r="Q33" s="11"/>
      <c r="R33" s="11"/>
      <c r="S33" s="11"/>
      <c r="T33" s="11"/>
      <c r="U33" s="12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3"/>
      <c r="BT33" s="14"/>
      <c r="BU33" s="11"/>
      <c r="BV33" s="11"/>
      <c r="BW33" s="11"/>
      <c r="BX33" s="11"/>
      <c r="BY33" s="11"/>
      <c r="BZ33" s="13"/>
    </row>
    <row r="34" spans="4:78" x14ac:dyDescent="0.2">
      <c r="D34" s="11"/>
      <c r="F34" s="11"/>
      <c r="G34" s="11"/>
      <c r="H34" s="11"/>
      <c r="I34" s="11"/>
      <c r="J34" s="11"/>
      <c r="K34" s="11"/>
      <c r="L34" s="11"/>
      <c r="M34" s="11"/>
      <c r="N34" s="11"/>
      <c r="O34" s="12"/>
      <c r="P34" s="11"/>
      <c r="Q34" s="11"/>
      <c r="R34" s="11"/>
      <c r="S34" s="11"/>
      <c r="T34" s="11"/>
      <c r="U34" s="12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3"/>
      <c r="BT34" s="14"/>
      <c r="BU34" s="11"/>
      <c r="BV34" s="11"/>
      <c r="BW34" s="11"/>
      <c r="BX34" s="11"/>
      <c r="BY34" s="11"/>
      <c r="BZ34" s="13"/>
    </row>
    <row r="35" spans="4:78" x14ac:dyDescent="0.2">
      <c r="D35" s="11"/>
      <c r="F35" s="11"/>
      <c r="G35" s="11"/>
      <c r="H35" s="11"/>
      <c r="I35" s="11"/>
      <c r="J35" s="11"/>
      <c r="K35" s="11"/>
      <c r="L35" s="11"/>
      <c r="M35" s="11"/>
      <c r="N35" s="11"/>
      <c r="O35" s="12"/>
      <c r="P35" s="11"/>
      <c r="Q35" s="11"/>
      <c r="R35" s="11"/>
      <c r="S35" s="11"/>
      <c r="T35" s="11"/>
      <c r="U35" s="12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3"/>
      <c r="BT35" s="14"/>
      <c r="BU35" s="11"/>
      <c r="BV35" s="11"/>
      <c r="BW35" s="11"/>
      <c r="BX35" s="11"/>
      <c r="BY35" s="11"/>
      <c r="BZ35" s="13"/>
    </row>
    <row r="36" spans="4:78" x14ac:dyDescent="0.2">
      <c r="D36" s="11"/>
      <c r="F36" s="11"/>
      <c r="G36" s="11"/>
      <c r="H36" s="11"/>
      <c r="I36" s="11"/>
      <c r="J36" s="11"/>
      <c r="K36" s="11"/>
      <c r="L36" s="11"/>
      <c r="M36" s="11"/>
      <c r="N36" s="11"/>
      <c r="O36" s="12"/>
      <c r="P36" s="11"/>
      <c r="Q36" s="11"/>
      <c r="R36" s="11"/>
      <c r="S36" s="11"/>
      <c r="T36" s="11"/>
      <c r="U36" s="12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3"/>
      <c r="BT36" s="14"/>
      <c r="BU36" s="11"/>
      <c r="BV36" s="11"/>
      <c r="BW36" s="11"/>
      <c r="BX36" s="11"/>
      <c r="BY36" s="11"/>
      <c r="BZ36" s="13"/>
    </row>
    <row r="37" spans="4:78" x14ac:dyDescent="0.2">
      <c r="D37" s="11"/>
      <c r="F37" s="11"/>
      <c r="G37" s="11"/>
      <c r="H37" s="11"/>
      <c r="I37" s="11"/>
      <c r="J37" s="11"/>
      <c r="K37" s="11"/>
      <c r="L37" s="11"/>
      <c r="M37" s="11"/>
      <c r="N37" s="11"/>
      <c r="O37" s="12"/>
      <c r="P37" s="11"/>
      <c r="Q37" s="11"/>
      <c r="R37" s="11"/>
      <c r="S37" s="11"/>
      <c r="T37" s="11"/>
      <c r="U37" s="12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3"/>
      <c r="BT37" s="14"/>
      <c r="BU37" s="11"/>
      <c r="BV37" s="11"/>
      <c r="BW37" s="11"/>
      <c r="BX37" s="11"/>
      <c r="BY37" s="11"/>
      <c r="BZ37" s="13"/>
    </row>
    <row r="38" spans="4:78" x14ac:dyDescent="0.2">
      <c r="D38" s="11"/>
      <c r="F38" s="11"/>
      <c r="G38" s="11"/>
      <c r="H38" s="11"/>
      <c r="I38" s="11"/>
      <c r="J38" s="11"/>
      <c r="K38" s="11"/>
      <c r="L38" s="11"/>
      <c r="M38" s="11"/>
      <c r="N38" s="11"/>
      <c r="O38" s="12"/>
      <c r="P38" s="11"/>
      <c r="Q38" s="11"/>
      <c r="R38" s="11"/>
      <c r="S38" s="11"/>
      <c r="T38" s="11"/>
      <c r="U38" s="12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3"/>
      <c r="BT38" s="14"/>
      <c r="BU38" s="11"/>
      <c r="BV38" s="11"/>
      <c r="BW38" s="11"/>
      <c r="BX38" s="11"/>
      <c r="BY38" s="11"/>
      <c r="BZ38" s="13"/>
    </row>
    <row r="39" spans="4:78" x14ac:dyDescent="0.2">
      <c r="D39" s="11"/>
      <c r="F39" s="11"/>
      <c r="G39" s="11"/>
      <c r="H39" s="11"/>
      <c r="I39" s="11"/>
      <c r="J39" s="11"/>
      <c r="K39" s="11"/>
      <c r="L39" s="11"/>
      <c r="M39" s="11"/>
      <c r="N39" s="11"/>
      <c r="O39" s="12"/>
      <c r="P39" s="11"/>
      <c r="Q39" s="11"/>
      <c r="R39" s="11"/>
      <c r="S39" s="11"/>
      <c r="T39" s="11"/>
      <c r="U39" s="12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3"/>
      <c r="BT39" s="14"/>
      <c r="BU39" s="11"/>
      <c r="BV39" s="11"/>
      <c r="BW39" s="11"/>
      <c r="BX39" s="11"/>
      <c r="BY39" s="11"/>
      <c r="BZ39" s="13"/>
    </row>
    <row r="40" spans="4:78" x14ac:dyDescent="0.2">
      <c r="D40" s="11"/>
      <c r="F40" s="11"/>
      <c r="G40" s="11"/>
      <c r="H40" s="11"/>
      <c r="I40" s="11"/>
      <c r="J40" s="11"/>
      <c r="K40" s="11"/>
      <c r="L40" s="11"/>
      <c r="M40" s="11"/>
      <c r="N40" s="11"/>
      <c r="O40" s="12"/>
      <c r="P40" s="11"/>
      <c r="Q40" s="11"/>
      <c r="R40" s="11"/>
      <c r="S40" s="11"/>
      <c r="T40" s="11"/>
      <c r="U40" s="12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3"/>
      <c r="BT40" s="14"/>
      <c r="BU40" s="11"/>
      <c r="BV40" s="11"/>
      <c r="BW40" s="11"/>
      <c r="BX40" s="11"/>
      <c r="BY40" s="11"/>
      <c r="BZ40" s="13"/>
    </row>
    <row r="41" spans="4:78" x14ac:dyDescent="0.2">
      <c r="D41" s="11"/>
      <c r="F41" s="11"/>
      <c r="G41" s="11"/>
      <c r="H41" s="11"/>
      <c r="I41" s="11"/>
      <c r="J41" s="11"/>
      <c r="K41" s="11"/>
      <c r="L41" s="11"/>
      <c r="M41" s="11"/>
      <c r="N41" s="11"/>
      <c r="O41" s="12"/>
      <c r="P41" s="11"/>
      <c r="Q41" s="11"/>
      <c r="R41" s="11"/>
      <c r="S41" s="11"/>
      <c r="T41" s="11"/>
      <c r="U41" s="12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3"/>
      <c r="BT41" s="14"/>
      <c r="BU41" s="11"/>
      <c r="BV41" s="11"/>
      <c r="BW41" s="11"/>
      <c r="BX41" s="11"/>
      <c r="BY41" s="11"/>
      <c r="BZ41" s="13"/>
    </row>
    <row r="42" spans="4:78" x14ac:dyDescent="0.2">
      <c r="D42" s="11"/>
      <c r="F42" s="11"/>
      <c r="G42" s="11"/>
      <c r="H42" s="11"/>
      <c r="I42" s="11"/>
      <c r="J42" s="11"/>
      <c r="K42" s="11"/>
      <c r="L42" s="11"/>
      <c r="M42" s="11"/>
      <c r="N42" s="11"/>
      <c r="O42" s="12"/>
      <c r="P42" s="11"/>
      <c r="Q42" s="11"/>
      <c r="R42" s="11"/>
      <c r="S42" s="11"/>
      <c r="T42" s="11"/>
      <c r="U42" s="12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3"/>
      <c r="BT42" s="14"/>
      <c r="BU42" s="11"/>
      <c r="BV42" s="11"/>
      <c r="BW42" s="11"/>
      <c r="BX42" s="11"/>
      <c r="BY42" s="11"/>
      <c r="BZ42" s="13"/>
    </row>
    <row r="43" spans="4:78" x14ac:dyDescent="0.2">
      <c r="D43" s="11"/>
      <c r="F43" s="11"/>
      <c r="G43" s="11"/>
      <c r="H43" s="11"/>
      <c r="I43" s="11"/>
      <c r="J43" s="11"/>
      <c r="K43" s="11"/>
      <c r="L43" s="11"/>
      <c r="M43" s="11"/>
      <c r="N43" s="11"/>
      <c r="O43" s="12"/>
      <c r="P43" s="11"/>
      <c r="Q43" s="11"/>
      <c r="R43" s="11"/>
      <c r="S43" s="11"/>
      <c r="T43" s="11"/>
      <c r="U43" s="12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3"/>
      <c r="BT43" s="14"/>
      <c r="BU43" s="11"/>
      <c r="BV43" s="11"/>
      <c r="BW43" s="11"/>
      <c r="BX43" s="11"/>
      <c r="BY43" s="11"/>
      <c r="BZ43" s="13"/>
    </row>
    <row r="44" spans="4:78" x14ac:dyDescent="0.2">
      <c r="D44" s="11"/>
      <c r="F44" s="11"/>
      <c r="G44" s="11"/>
      <c r="H44" s="11"/>
      <c r="I44" s="11"/>
      <c r="J44" s="11"/>
      <c r="K44" s="11"/>
      <c r="L44" s="11"/>
      <c r="M44" s="11"/>
      <c r="N44" s="11"/>
      <c r="O44" s="12"/>
      <c r="P44" s="11"/>
      <c r="Q44" s="11"/>
      <c r="R44" s="11"/>
      <c r="S44" s="11"/>
      <c r="T44" s="11"/>
      <c r="U44" s="12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3"/>
      <c r="BT44" s="14"/>
      <c r="BU44" s="11"/>
      <c r="BV44" s="11"/>
      <c r="BW44" s="11"/>
      <c r="BX44" s="11"/>
      <c r="BY44" s="11"/>
      <c r="BZ44" s="13"/>
    </row>
    <row r="45" spans="4:78" x14ac:dyDescent="0.2">
      <c r="D45" s="11"/>
      <c r="F45" s="11"/>
      <c r="G45" s="11"/>
      <c r="H45" s="11"/>
      <c r="I45" s="11"/>
      <c r="J45" s="11"/>
      <c r="K45" s="11"/>
      <c r="L45" s="11"/>
      <c r="M45" s="11"/>
      <c r="N45" s="11"/>
      <c r="O45" s="12"/>
      <c r="P45" s="11"/>
      <c r="Q45" s="11"/>
      <c r="R45" s="11"/>
      <c r="S45" s="11"/>
      <c r="T45" s="11"/>
      <c r="U45" s="12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3"/>
      <c r="BT45" s="14"/>
      <c r="BU45" s="11"/>
      <c r="BV45" s="11"/>
      <c r="BW45" s="11"/>
      <c r="BX45" s="11"/>
      <c r="BY45" s="11"/>
      <c r="BZ45" s="13"/>
    </row>
    <row r="46" spans="4:78" x14ac:dyDescent="0.2">
      <c r="D46" s="11"/>
      <c r="F46" s="11"/>
      <c r="G46" s="11"/>
      <c r="H46" s="11"/>
      <c r="I46" s="11"/>
      <c r="J46" s="11"/>
      <c r="K46" s="11"/>
      <c r="L46" s="11"/>
      <c r="M46" s="11"/>
      <c r="N46" s="11"/>
      <c r="O46" s="12"/>
      <c r="P46" s="11"/>
      <c r="Q46" s="11"/>
      <c r="R46" s="11"/>
      <c r="S46" s="11"/>
      <c r="T46" s="11"/>
      <c r="U46" s="12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3"/>
      <c r="BT46" s="14"/>
      <c r="BU46" s="11"/>
      <c r="BV46" s="11"/>
      <c r="BW46" s="11"/>
      <c r="BX46" s="11"/>
      <c r="BY46" s="11"/>
      <c r="BZ46" s="13"/>
    </row>
    <row r="47" spans="4:78" x14ac:dyDescent="0.2">
      <c r="D47" s="11"/>
      <c r="F47" s="11"/>
      <c r="G47" s="11"/>
      <c r="H47" s="11"/>
      <c r="I47" s="11"/>
      <c r="J47" s="11"/>
      <c r="K47" s="11"/>
      <c r="L47" s="11"/>
      <c r="M47" s="11"/>
      <c r="N47" s="11"/>
      <c r="O47" s="12"/>
      <c r="P47" s="11"/>
      <c r="Q47" s="11"/>
      <c r="R47" s="11"/>
      <c r="S47" s="11"/>
      <c r="T47" s="11"/>
      <c r="U47" s="12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3"/>
      <c r="BT47" s="14"/>
      <c r="BU47" s="11"/>
      <c r="BV47" s="11"/>
      <c r="BW47" s="11"/>
      <c r="BX47" s="11"/>
      <c r="BY47" s="11"/>
      <c r="BZ47" s="13"/>
    </row>
    <row r="48" spans="4:78" x14ac:dyDescent="0.2">
      <c r="D48" s="11"/>
      <c r="F48" s="11"/>
      <c r="G48" s="11"/>
      <c r="H48" s="11"/>
      <c r="I48" s="11"/>
      <c r="J48" s="11"/>
      <c r="K48" s="11"/>
      <c r="L48" s="11"/>
      <c r="M48" s="11"/>
      <c r="N48" s="11"/>
      <c r="O48" s="12"/>
      <c r="P48" s="11"/>
      <c r="Q48" s="11"/>
      <c r="R48" s="11"/>
      <c r="S48" s="11"/>
      <c r="T48" s="11"/>
      <c r="U48" s="12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3"/>
      <c r="BT48" s="14"/>
      <c r="BU48" s="11"/>
      <c r="BV48" s="11"/>
      <c r="BW48" s="11"/>
      <c r="BX48" s="11"/>
      <c r="BY48" s="11"/>
      <c r="BZ48" s="13"/>
    </row>
    <row r="49" spans="4:78" x14ac:dyDescent="0.2">
      <c r="D49" s="11"/>
      <c r="F49" s="11"/>
      <c r="G49" s="11"/>
      <c r="H49" s="11"/>
      <c r="I49" s="11"/>
      <c r="J49" s="11"/>
      <c r="K49" s="11"/>
      <c r="L49" s="11"/>
      <c r="M49" s="11"/>
      <c r="N49" s="11"/>
      <c r="O49" s="12"/>
      <c r="P49" s="11"/>
      <c r="Q49" s="11"/>
      <c r="R49" s="11"/>
      <c r="S49" s="11"/>
      <c r="T49" s="11"/>
      <c r="U49" s="12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3"/>
      <c r="BT49" s="14"/>
      <c r="BU49" s="11"/>
      <c r="BV49" s="11"/>
      <c r="BW49" s="11"/>
      <c r="BX49" s="11"/>
      <c r="BY49" s="11"/>
      <c r="BZ49" s="13"/>
    </row>
    <row r="50" spans="4:78" x14ac:dyDescent="0.2">
      <c r="D50" s="11"/>
      <c r="F50" s="11"/>
      <c r="G50" s="11"/>
      <c r="H50" s="11"/>
      <c r="I50" s="11"/>
      <c r="J50" s="11"/>
      <c r="K50" s="11"/>
      <c r="L50" s="11"/>
      <c r="M50" s="11"/>
      <c r="N50" s="11"/>
      <c r="O50" s="12"/>
      <c r="P50" s="11"/>
      <c r="Q50" s="11"/>
      <c r="R50" s="11"/>
      <c r="S50" s="11"/>
      <c r="T50" s="11"/>
      <c r="U50" s="12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3"/>
      <c r="BT50" s="14"/>
      <c r="BU50" s="11"/>
      <c r="BV50" s="11"/>
      <c r="BW50" s="11"/>
      <c r="BX50" s="11"/>
      <c r="BY50" s="11"/>
      <c r="BZ50" s="13"/>
    </row>
    <row r="51" spans="4:78" x14ac:dyDescent="0.2">
      <c r="D51" s="11"/>
      <c r="F51" s="11"/>
      <c r="G51" s="11"/>
      <c r="H51" s="11"/>
      <c r="I51" s="11"/>
      <c r="J51" s="11"/>
      <c r="K51" s="11"/>
      <c r="L51" s="11"/>
      <c r="M51" s="11"/>
      <c r="N51" s="11"/>
      <c r="O51" s="12"/>
      <c r="P51" s="11"/>
      <c r="Q51" s="11"/>
      <c r="R51" s="11"/>
      <c r="S51" s="11"/>
      <c r="T51" s="11"/>
      <c r="U51" s="12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3"/>
      <c r="BT51" s="14"/>
      <c r="BU51" s="11"/>
      <c r="BV51" s="11"/>
      <c r="BW51" s="11"/>
      <c r="BX51" s="11"/>
      <c r="BY51" s="11"/>
      <c r="BZ51" s="13"/>
    </row>
    <row r="52" spans="4:78" x14ac:dyDescent="0.2">
      <c r="D52" s="11"/>
      <c r="F52" s="11"/>
      <c r="G52" s="11"/>
      <c r="H52" s="11"/>
      <c r="I52" s="11"/>
      <c r="J52" s="11"/>
      <c r="K52" s="11"/>
      <c r="L52" s="11"/>
      <c r="M52" s="11"/>
      <c r="N52" s="11"/>
      <c r="O52" s="12"/>
      <c r="P52" s="11"/>
      <c r="Q52" s="11"/>
      <c r="R52" s="11"/>
      <c r="S52" s="11"/>
      <c r="T52" s="11"/>
      <c r="U52" s="12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3"/>
      <c r="BT52" s="14"/>
      <c r="BU52" s="11"/>
      <c r="BV52" s="11"/>
      <c r="BW52" s="11"/>
      <c r="BX52" s="11"/>
      <c r="BY52" s="11"/>
      <c r="BZ52" s="13"/>
    </row>
    <row r="53" spans="4:78" x14ac:dyDescent="0.2">
      <c r="D53" s="11"/>
      <c r="F53" s="11"/>
      <c r="G53" s="11"/>
      <c r="H53" s="11"/>
      <c r="I53" s="11"/>
      <c r="J53" s="11"/>
      <c r="K53" s="11"/>
      <c r="L53" s="11"/>
      <c r="M53" s="11"/>
      <c r="N53" s="11"/>
      <c r="O53" s="12"/>
      <c r="P53" s="11"/>
      <c r="Q53" s="11"/>
      <c r="R53" s="11"/>
      <c r="S53" s="11"/>
      <c r="T53" s="11"/>
      <c r="U53" s="12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3"/>
      <c r="BT53" s="14"/>
      <c r="BU53" s="11"/>
      <c r="BV53" s="11"/>
      <c r="BW53" s="11"/>
      <c r="BX53" s="11"/>
      <c r="BY53" s="11"/>
      <c r="BZ53" s="13"/>
    </row>
    <row r="54" spans="4:78" x14ac:dyDescent="0.2">
      <c r="D54" s="11"/>
      <c r="F54" s="11"/>
      <c r="G54" s="11"/>
      <c r="H54" s="11"/>
      <c r="I54" s="11"/>
      <c r="J54" s="11"/>
      <c r="K54" s="11"/>
      <c r="L54" s="11"/>
      <c r="M54" s="11"/>
      <c r="N54" s="11"/>
      <c r="O54" s="12"/>
      <c r="P54" s="11"/>
      <c r="Q54" s="11"/>
      <c r="R54" s="11"/>
      <c r="S54" s="11"/>
      <c r="T54" s="11"/>
      <c r="U54" s="12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3"/>
      <c r="BT54" s="14"/>
      <c r="BU54" s="11"/>
      <c r="BV54" s="11"/>
      <c r="BW54" s="11"/>
      <c r="BX54" s="11"/>
      <c r="BY54" s="11"/>
      <c r="BZ54" s="13"/>
    </row>
    <row r="55" spans="4:78" x14ac:dyDescent="0.2">
      <c r="D55" s="11"/>
      <c r="F55" s="11"/>
      <c r="G55" s="11"/>
      <c r="H55" s="11"/>
      <c r="I55" s="11"/>
      <c r="J55" s="11"/>
      <c r="K55" s="11"/>
      <c r="L55" s="11"/>
      <c r="M55" s="11"/>
      <c r="N55" s="11"/>
      <c r="O55" s="12"/>
      <c r="P55" s="11"/>
      <c r="Q55" s="11"/>
      <c r="R55" s="11"/>
      <c r="S55" s="11"/>
      <c r="T55" s="11"/>
      <c r="U55" s="12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3"/>
      <c r="BT55" s="14"/>
      <c r="BU55" s="11"/>
      <c r="BV55" s="11"/>
      <c r="BW55" s="11"/>
      <c r="BX55" s="11"/>
      <c r="BY55" s="11"/>
      <c r="BZ55" s="13"/>
    </row>
    <row r="56" spans="4:78" x14ac:dyDescent="0.2">
      <c r="D56" s="11"/>
      <c r="F56" s="11"/>
      <c r="G56" s="11"/>
      <c r="H56" s="11"/>
      <c r="I56" s="11"/>
      <c r="J56" s="11"/>
      <c r="K56" s="11"/>
      <c r="L56" s="11"/>
      <c r="M56" s="11"/>
      <c r="N56" s="11"/>
      <c r="O56" s="12"/>
      <c r="P56" s="11"/>
      <c r="Q56" s="11"/>
      <c r="R56" s="11"/>
      <c r="S56" s="11"/>
      <c r="T56" s="11"/>
      <c r="U56" s="12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3"/>
      <c r="BT56" s="14"/>
      <c r="BU56" s="11"/>
      <c r="BV56" s="11"/>
      <c r="BW56" s="11"/>
      <c r="BX56" s="11"/>
      <c r="BY56" s="11"/>
      <c r="BZ56" s="13"/>
    </row>
    <row r="57" spans="4:78" x14ac:dyDescent="0.2">
      <c r="D57" s="11"/>
      <c r="F57" s="11"/>
      <c r="G57" s="11"/>
      <c r="H57" s="11"/>
      <c r="I57" s="11"/>
      <c r="J57" s="11"/>
      <c r="K57" s="11"/>
      <c r="L57" s="11"/>
      <c r="M57" s="11"/>
      <c r="N57" s="11"/>
      <c r="O57" s="12"/>
      <c r="P57" s="11"/>
      <c r="Q57" s="11"/>
      <c r="R57" s="11"/>
      <c r="S57" s="11"/>
      <c r="T57" s="11"/>
      <c r="U57" s="12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3"/>
      <c r="BT57" s="14"/>
      <c r="BU57" s="11"/>
      <c r="BV57" s="11"/>
      <c r="BW57" s="11"/>
      <c r="BX57" s="11"/>
      <c r="BY57" s="11"/>
      <c r="BZ57" s="13"/>
    </row>
    <row r="58" spans="4:78" x14ac:dyDescent="0.2">
      <c r="D58" s="11"/>
      <c r="F58" s="11"/>
      <c r="G58" s="11"/>
      <c r="H58" s="11"/>
      <c r="I58" s="11"/>
      <c r="J58" s="11"/>
      <c r="K58" s="11"/>
      <c r="L58" s="11"/>
      <c r="M58" s="11"/>
      <c r="N58" s="11"/>
      <c r="O58" s="12"/>
      <c r="P58" s="11"/>
      <c r="Q58" s="11"/>
      <c r="R58" s="11"/>
      <c r="S58" s="11"/>
      <c r="T58" s="11"/>
      <c r="U58" s="12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3"/>
      <c r="BT58" s="14"/>
      <c r="BU58" s="11"/>
      <c r="BV58" s="11"/>
      <c r="BW58" s="11"/>
      <c r="BX58" s="11"/>
      <c r="BY58" s="11"/>
      <c r="BZ58" s="13"/>
    </row>
    <row r="59" spans="4:78" x14ac:dyDescent="0.2">
      <c r="D59" s="11"/>
      <c r="F59" s="11"/>
      <c r="G59" s="11"/>
      <c r="H59" s="11"/>
      <c r="I59" s="11"/>
      <c r="J59" s="11"/>
      <c r="K59" s="11"/>
      <c r="L59" s="11"/>
      <c r="M59" s="11"/>
      <c r="N59" s="11"/>
      <c r="O59" s="12"/>
      <c r="P59" s="11"/>
      <c r="Q59" s="11"/>
      <c r="R59" s="11"/>
      <c r="S59" s="11"/>
      <c r="T59" s="11"/>
      <c r="U59" s="12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3"/>
      <c r="BT59" s="14"/>
      <c r="BU59" s="11"/>
      <c r="BV59" s="11"/>
      <c r="BW59" s="11"/>
      <c r="BX59" s="11"/>
      <c r="BY59" s="11"/>
      <c r="BZ59" s="13"/>
    </row>
    <row r="60" spans="4:78" x14ac:dyDescent="0.2">
      <c r="D60" s="11"/>
      <c r="F60" s="11"/>
      <c r="G60" s="11"/>
      <c r="H60" s="11"/>
      <c r="I60" s="11"/>
      <c r="J60" s="11"/>
      <c r="K60" s="11"/>
      <c r="L60" s="11"/>
      <c r="M60" s="11"/>
      <c r="N60" s="11"/>
      <c r="O60" s="12"/>
      <c r="P60" s="11"/>
      <c r="Q60" s="11"/>
      <c r="R60" s="11"/>
      <c r="S60" s="11"/>
      <c r="T60" s="11"/>
      <c r="U60" s="12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3"/>
      <c r="BT60" s="14"/>
      <c r="BU60" s="11"/>
      <c r="BV60" s="11"/>
      <c r="BW60" s="11"/>
      <c r="BX60" s="11"/>
      <c r="BY60" s="11"/>
      <c r="BZ60" s="13"/>
    </row>
    <row r="61" spans="4:78" x14ac:dyDescent="0.2">
      <c r="D61" s="11"/>
      <c r="F61" s="11"/>
      <c r="G61" s="11"/>
      <c r="H61" s="11"/>
      <c r="I61" s="11"/>
      <c r="J61" s="11"/>
      <c r="K61" s="11"/>
      <c r="L61" s="11"/>
      <c r="M61" s="11"/>
      <c r="N61" s="11"/>
      <c r="O61" s="12"/>
      <c r="P61" s="11"/>
      <c r="Q61" s="11"/>
      <c r="R61" s="11"/>
      <c r="S61" s="11"/>
      <c r="T61" s="11"/>
      <c r="U61" s="12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3"/>
      <c r="BT61" s="14"/>
      <c r="BU61" s="11"/>
      <c r="BV61" s="11"/>
      <c r="BW61" s="11"/>
      <c r="BX61" s="11"/>
      <c r="BY61" s="11"/>
      <c r="BZ61" s="13"/>
    </row>
    <row r="62" spans="4:78" x14ac:dyDescent="0.2">
      <c r="D62" s="11"/>
      <c r="F62" s="11"/>
      <c r="G62" s="11"/>
      <c r="H62" s="11"/>
      <c r="I62" s="11"/>
      <c r="J62" s="11"/>
      <c r="K62" s="11"/>
      <c r="L62" s="11"/>
      <c r="M62" s="11"/>
      <c r="N62" s="11"/>
      <c r="O62" s="12"/>
      <c r="P62" s="11"/>
      <c r="Q62" s="11"/>
      <c r="R62" s="11"/>
      <c r="S62" s="11"/>
      <c r="T62" s="11"/>
      <c r="U62" s="12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3"/>
      <c r="BT62" s="14"/>
      <c r="BU62" s="11"/>
      <c r="BV62" s="11"/>
      <c r="BW62" s="11"/>
      <c r="BX62" s="11"/>
      <c r="BY62" s="11"/>
      <c r="BZ62" s="13"/>
    </row>
    <row r="63" spans="4:78" x14ac:dyDescent="0.2">
      <c r="D63" s="11"/>
      <c r="F63" s="11"/>
      <c r="G63" s="11"/>
      <c r="H63" s="11"/>
      <c r="I63" s="11"/>
      <c r="J63" s="11"/>
      <c r="K63" s="11"/>
      <c r="L63" s="11"/>
      <c r="M63" s="11"/>
      <c r="N63" s="11"/>
      <c r="O63" s="12"/>
      <c r="P63" s="11"/>
      <c r="Q63" s="11"/>
      <c r="R63" s="11"/>
      <c r="S63" s="11"/>
      <c r="T63" s="11"/>
      <c r="U63" s="12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3"/>
      <c r="BT63" s="14"/>
      <c r="BU63" s="11"/>
      <c r="BV63" s="11"/>
      <c r="BW63" s="11"/>
      <c r="BX63" s="11"/>
      <c r="BY63" s="11"/>
      <c r="BZ63" s="13"/>
    </row>
    <row r="64" spans="4:78" x14ac:dyDescent="0.2">
      <c r="D64" s="11"/>
      <c r="F64" s="11"/>
      <c r="G64" s="11"/>
      <c r="H64" s="11"/>
      <c r="I64" s="11"/>
      <c r="J64" s="11"/>
      <c r="K64" s="11"/>
      <c r="L64" s="11"/>
      <c r="M64" s="11"/>
      <c r="N64" s="11"/>
      <c r="O64" s="12"/>
      <c r="P64" s="11"/>
      <c r="Q64" s="11"/>
      <c r="R64" s="11"/>
      <c r="S64" s="11"/>
      <c r="T64" s="11"/>
      <c r="U64" s="12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3"/>
      <c r="BT64" s="14"/>
      <c r="BU64" s="11"/>
      <c r="BV64" s="11"/>
      <c r="BW64" s="11"/>
      <c r="BX64" s="11"/>
      <c r="BY64" s="11"/>
      <c r="BZ64" s="13"/>
    </row>
    <row r="65" spans="4:78" x14ac:dyDescent="0.2">
      <c r="D65" s="11"/>
      <c r="F65" s="11"/>
      <c r="G65" s="11"/>
      <c r="H65" s="11"/>
      <c r="I65" s="11"/>
      <c r="J65" s="11"/>
      <c r="K65" s="11"/>
      <c r="L65" s="11"/>
      <c r="M65" s="11"/>
      <c r="N65" s="11"/>
      <c r="O65" s="12"/>
      <c r="P65" s="11"/>
      <c r="Q65" s="11"/>
      <c r="R65" s="11"/>
      <c r="S65" s="11"/>
      <c r="T65" s="11"/>
      <c r="U65" s="12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3"/>
      <c r="BT65" s="14"/>
      <c r="BU65" s="11"/>
      <c r="BV65" s="11"/>
      <c r="BW65" s="11"/>
      <c r="BX65" s="11"/>
      <c r="BY65" s="11"/>
      <c r="BZ65" s="13"/>
    </row>
    <row r="66" spans="4:78" x14ac:dyDescent="0.2">
      <c r="D66" s="11"/>
      <c r="F66" s="11"/>
      <c r="G66" s="11"/>
      <c r="H66" s="11"/>
      <c r="I66" s="11"/>
      <c r="J66" s="11"/>
      <c r="K66" s="11"/>
      <c r="L66" s="11"/>
      <c r="M66" s="11"/>
      <c r="N66" s="11"/>
      <c r="O66" s="12"/>
      <c r="P66" s="11"/>
      <c r="Q66" s="11"/>
      <c r="R66" s="11"/>
      <c r="S66" s="11"/>
      <c r="T66" s="11"/>
      <c r="U66" s="12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3"/>
      <c r="BT66" s="14"/>
      <c r="BU66" s="11"/>
      <c r="BV66" s="11"/>
      <c r="BW66" s="11"/>
      <c r="BX66" s="11"/>
      <c r="BY66" s="11"/>
      <c r="BZ66" s="13"/>
    </row>
    <row r="67" spans="4:78" x14ac:dyDescent="0.2">
      <c r="D67" s="11"/>
      <c r="F67" s="11"/>
      <c r="G67" s="11"/>
      <c r="H67" s="11"/>
      <c r="I67" s="11"/>
      <c r="J67" s="11"/>
      <c r="K67" s="11"/>
      <c r="L67" s="11"/>
      <c r="M67" s="11"/>
      <c r="N67" s="11"/>
      <c r="O67" s="12"/>
      <c r="P67" s="11"/>
      <c r="Q67" s="11"/>
      <c r="R67" s="11"/>
      <c r="S67" s="11"/>
      <c r="T67" s="11"/>
      <c r="U67" s="12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3"/>
      <c r="BT67" s="14"/>
      <c r="BU67" s="11"/>
      <c r="BV67" s="11"/>
      <c r="BW67" s="11"/>
      <c r="BX67" s="11"/>
      <c r="BY67" s="11"/>
      <c r="BZ67" s="13"/>
    </row>
    <row r="68" spans="4:78" x14ac:dyDescent="0.2">
      <c r="D68" s="11"/>
      <c r="F68" s="11"/>
      <c r="G68" s="11"/>
      <c r="H68" s="11"/>
      <c r="I68" s="11"/>
      <c r="J68" s="11"/>
      <c r="K68" s="11"/>
      <c r="L68" s="11"/>
      <c r="M68" s="11"/>
      <c r="N68" s="11"/>
      <c r="O68" s="12"/>
      <c r="P68" s="11"/>
      <c r="Q68" s="11"/>
      <c r="R68" s="11"/>
      <c r="S68" s="11"/>
      <c r="T68" s="11"/>
      <c r="U68" s="12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3"/>
      <c r="BT68" s="14"/>
      <c r="BU68" s="11"/>
      <c r="BV68" s="11"/>
      <c r="BW68" s="11"/>
      <c r="BX68" s="11"/>
      <c r="BY68" s="11"/>
      <c r="BZ68" s="13"/>
    </row>
    <row r="69" spans="4:78" x14ac:dyDescent="0.2">
      <c r="D69" s="11"/>
      <c r="F69" s="11"/>
      <c r="G69" s="11"/>
      <c r="H69" s="11"/>
      <c r="I69" s="11"/>
      <c r="J69" s="11"/>
      <c r="K69" s="11"/>
      <c r="L69" s="11"/>
      <c r="M69" s="11"/>
      <c r="N69" s="11"/>
      <c r="O69" s="12"/>
      <c r="P69" s="11"/>
      <c r="Q69" s="11"/>
      <c r="R69" s="11"/>
      <c r="S69" s="11"/>
      <c r="T69" s="11"/>
      <c r="U69" s="12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3"/>
      <c r="BT69" s="14"/>
      <c r="BU69" s="11"/>
      <c r="BV69" s="11"/>
      <c r="BW69" s="11"/>
      <c r="BX69" s="11"/>
      <c r="BY69" s="11"/>
      <c r="BZ69" s="13"/>
    </row>
    <row r="70" spans="4:78" x14ac:dyDescent="0.2">
      <c r="D70" s="11"/>
      <c r="F70" s="11"/>
      <c r="G70" s="11"/>
      <c r="H70" s="11"/>
      <c r="I70" s="11"/>
      <c r="J70" s="11"/>
      <c r="K70" s="11"/>
      <c r="L70" s="11"/>
      <c r="M70" s="11"/>
      <c r="N70" s="11"/>
      <c r="O70" s="12"/>
      <c r="P70" s="11"/>
      <c r="Q70" s="11"/>
      <c r="R70" s="11"/>
      <c r="S70" s="11"/>
      <c r="T70" s="11"/>
      <c r="U70" s="12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3"/>
      <c r="BT70" s="14"/>
      <c r="BU70" s="11"/>
      <c r="BV70" s="11"/>
      <c r="BW70" s="11"/>
      <c r="BX70" s="11"/>
      <c r="BY70" s="11"/>
      <c r="BZ70" s="13"/>
    </row>
    <row r="71" spans="4:78" x14ac:dyDescent="0.2">
      <c r="D71" s="11"/>
      <c r="F71" s="11"/>
      <c r="G71" s="11"/>
      <c r="H71" s="11"/>
      <c r="I71" s="11"/>
      <c r="J71" s="11"/>
      <c r="K71" s="11"/>
      <c r="L71" s="11"/>
      <c r="M71" s="11"/>
      <c r="N71" s="11"/>
      <c r="O71" s="12"/>
      <c r="P71" s="11"/>
      <c r="Q71" s="11"/>
      <c r="R71" s="11"/>
      <c r="S71" s="11"/>
      <c r="T71" s="11"/>
      <c r="U71" s="12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3"/>
      <c r="BT71" s="14"/>
      <c r="BU71" s="11"/>
      <c r="BV71" s="11"/>
      <c r="BW71" s="11"/>
      <c r="BX71" s="11"/>
      <c r="BY71" s="11"/>
      <c r="BZ71" s="13"/>
    </row>
    <row r="72" spans="4:78" x14ac:dyDescent="0.2">
      <c r="D72" s="11"/>
      <c r="F72" s="11"/>
      <c r="G72" s="11"/>
      <c r="H72" s="11"/>
      <c r="I72" s="11"/>
      <c r="J72" s="11"/>
      <c r="K72" s="11"/>
      <c r="L72" s="11"/>
      <c r="M72" s="11"/>
      <c r="N72" s="11"/>
      <c r="O72" s="12"/>
      <c r="P72" s="11"/>
      <c r="Q72" s="11"/>
      <c r="R72" s="11"/>
      <c r="S72" s="11"/>
      <c r="T72" s="11"/>
      <c r="U72" s="12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3"/>
      <c r="BT72" s="14"/>
      <c r="BU72" s="11"/>
      <c r="BV72" s="11"/>
      <c r="BW72" s="11"/>
      <c r="BX72" s="11"/>
      <c r="BY72" s="11"/>
      <c r="BZ72" s="13"/>
    </row>
    <row r="73" spans="4:78" x14ac:dyDescent="0.2">
      <c r="D73" s="11"/>
      <c r="F73" s="11"/>
      <c r="G73" s="11"/>
      <c r="H73" s="11"/>
      <c r="I73" s="11"/>
      <c r="J73" s="11"/>
      <c r="K73" s="11"/>
      <c r="L73" s="11"/>
      <c r="M73" s="11"/>
      <c r="N73" s="11"/>
      <c r="O73" s="12"/>
      <c r="P73" s="11"/>
      <c r="Q73" s="11"/>
      <c r="R73" s="11"/>
      <c r="S73" s="11"/>
      <c r="T73" s="11"/>
      <c r="U73" s="12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3"/>
      <c r="BT73" s="14"/>
      <c r="BU73" s="11"/>
      <c r="BV73" s="11"/>
      <c r="BW73" s="11"/>
      <c r="BX73" s="11"/>
      <c r="BY73" s="11"/>
      <c r="BZ73" s="13"/>
    </row>
    <row r="74" spans="4:78" x14ac:dyDescent="0.2">
      <c r="D74" s="11"/>
      <c r="F74" s="11"/>
      <c r="G74" s="11"/>
      <c r="H74" s="11"/>
      <c r="I74" s="11"/>
      <c r="J74" s="11"/>
      <c r="K74" s="11"/>
      <c r="L74" s="11"/>
      <c r="M74" s="11"/>
      <c r="N74" s="11"/>
      <c r="O74" s="12"/>
      <c r="P74" s="11"/>
      <c r="Q74" s="11"/>
      <c r="R74" s="11"/>
      <c r="S74" s="11"/>
      <c r="T74" s="11"/>
      <c r="U74" s="12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3"/>
      <c r="BT74" s="14"/>
      <c r="BU74" s="11"/>
      <c r="BV74" s="11"/>
      <c r="BW74" s="11"/>
      <c r="BX74" s="11"/>
      <c r="BY74" s="11"/>
      <c r="BZ74" s="13"/>
    </row>
    <row r="75" spans="4:78" x14ac:dyDescent="0.2">
      <c r="D75" s="11"/>
      <c r="F75" s="11"/>
      <c r="G75" s="11"/>
      <c r="H75" s="11"/>
      <c r="I75" s="11"/>
      <c r="J75" s="11"/>
      <c r="K75" s="11"/>
      <c r="L75" s="11"/>
      <c r="M75" s="11"/>
      <c r="N75" s="11"/>
      <c r="O75" s="12"/>
      <c r="P75" s="11"/>
      <c r="Q75" s="11"/>
      <c r="R75" s="11"/>
      <c r="S75" s="11"/>
      <c r="T75" s="11"/>
      <c r="U75" s="12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3"/>
      <c r="BT75" s="14"/>
      <c r="BU75" s="11"/>
      <c r="BV75" s="11"/>
      <c r="BW75" s="11"/>
      <c r="BX75" s="11"/>
      <c r="BY75" s="11"/>
      <c r="BZ75" s="13"/>
    </row>
    <row r="76" spans="4:78" x14ac:dyDescent="0.2">
      <c r="D76" s="11"/>
      <c r="F76" s="11"/>
      <c r="G76" s="11"/>
      <c r="H76" s="11"/>
      <c r="I76" s="11"/>
      <c r="J76" s="11"/>
      <c r="K76" s="11"/>
      <c r="L76" s="11"/>
      <c r="M76" s="11"/>
      <c r="N76" s="11"/>
      <c r="O76" s="12"/>
      <c r="P76" s="11"/>
      <c r="Q76" s="11"/>
      <c r="R76" s="11"/>
      <c r="S76" s="11"/>
      <c r="T76" s="11"/>
      <c r="U76" s="12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3"/>
      <c r="BT76" s="14"/>
      <c r="BU76" s="11"/>
      <c r="BV76" s="11"/>
      <c r="BW76" s="11"/>
      <c r="BX76" s="11"/>
      <c r="BY76" s="11"/>
      <c r="BZ76" s="13"/>
    </row>
    <row r="77" spans="4:78" x14ac:dyDescent="0.2">
      <c r="D77" s="11"/>
      <c r="F77" s="11"/>
      <c r="G77" s="11"/>
      <c r="H77" s="11"/>
      <c r="I77" s="11"/>
      <c r="J77" s="11"/>
      <c r="K77" s="11"/>
      <c r="L77" s="11"/>
      <c r="M77" s="11"/>
      <c r="N77" s="11"/>
      <c r="O77" s="12"/>
      <c r="P77" s="11"/>
      <c r="Q77" s="11"/>
      <c r="R77" s="11"/>
      <c r="S77" s="11"/>
      <c r="T77" s="11"/>
      <c r="U77" s="12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3"/>
      <c r="BT77" s="14"/>
      <c r="BU77" s="11"/>
      <c r="BV77" s="11"/>
      <c r="BW77" s="11"/>
      <c r="BX77" s="11"/>
      <c r="BY77" s="11"/>
      <c r="BZ77" s="13"/>
    </row>
    <row r="78" spans="4:78" x14ac:dyDescent="0.2">
      <c r="D78" s="11"/>
      <c r="F78" s="11"/>
      <c r="G78" s="11"/>
      <c r="H78" s="11"/>
      <c r="I78" s="11"/>
      <c r="J78" s="11"/>
      <c r="K78" s="11"/>
      <c r="L78" s="11"/>
      <c r="M78" s="11"/>
      <c r="N78" s="11"/>
      <c r="O78" s="12"/>
      <c r="P78" s="11"/>
      <c r="Q78" s="11"/>
      <c r="R78" s="11"/>
      <c r="S78" s="11"/>
      <c r="T78" s="11"/>
      <c r="U78" s="12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3"/>
      <c r="BT78" s="14"/>
      <c r="BU78" s="11"/>
      <c r="BV78" s="11"/>
      <c r="BW78" s="11"/>
      <c r="BX78" s="11"/>
      <c r="BY78" s="11"/>
      <c r="BZ78" s="13"/>
    </row>
    <row r="79" spans="4:78" x14ac:dyDescent="0.2">
      <c r="D79" s="11"/>
      <c r="F79" s="11"/>
      <c r="G79" s="11"/>
      <c r="H79" s="11"/>
      <c r="I79" s="11"/>
      <c r="J79" s="11"/>
      <c r="K79" s="11"/>
      <c r="L79" s="11"/>
      <c r="M79" s="11"/>
      <c r="N79" s="11"/>
      <c r="O79" s="12"/>
      <c r="P79" s="11"/>
      <c r="Q79" s="11"/>
      <c r="R79" s="11"/>
      <c r="S79" s="11"/>
      <c r="T79" s="11"/>
      <c r="U79" s="12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3"/>
      <c r="BT79" s="14"/>
      <c r="BU79" s="11"/>
      <c r="BV79" s="11"/>
      <c r="BW79" s="11"/>
      <c r="BX79" s="11"/>
      <c r="BY79" s="11"/>
      <c r="BZ79" s="13"/>
    </row>
    <row r="80" spans="4:78" x14ac:dyDescent="0.2">
      <c r="D80" s="11"/>
      <c r="F80" s="11"/>
      <c r="G80" s="11"/>
      <c r="H80" s="11"/>
      <c r="I80" s="11"/>
      <c r="J80" s="11"/>
      <c r="K80" s="11"/>
      <c r="L80" s="11"/>
      <c r="M80" s="11"/>
      <c r="N80" s="11"/>
      <c r="O80" s="12"/>
      <c r="P80" s="11"/>
      <c r="Q80" s="11"/>
      <c r="R80" s="11"/>
      <c r="S80" s="11"/>
      <c r="T80" s="11"/>
      <c r="U80" s="12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3"/>
      <c r="BT80" s="14"/>
      <c r="BU80" s="11"/>
      <c r="BV80" s="11"/>
      <c r="BW80" s="11"/>
      <c r="BX80" s="11"/>
      <c r="BY80" s="11"/>
      <c r="BZ80" s="13"/>
    </row>
    <row r="81" spans="4:78" x14ac:dyDescent="0.2">
      <c r="D81" s="11"/>
      <c r="F81" s="11"/>
      <c r="G81" s="11"/>
      <c r="H81" s="11"/>
      <c r="I81" s="11"/>
      <c r="J81" s="11"/>
      <c r="K81" s="11"/>
      <c r="L81" s="11"/>
      <c r="M81" s="11"/>
      <c r="N81" s="11"/>
      <c r="O81" s="12"/>
      <c r="P81" s="11"/>
      <c r="Q81" s="11"/>
      <c r="R81" s="11"/>
      <c r="S81" s="11"/>
      <c r="T81" s="11"/>
      <c r="U81" s="12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3"/>
      <c r="BT81" s="14"/>
      <c r="BU81" s="11"/>
      <c r="BV81" s="11"/>
      <c r="BW81" s="11"/>
      <c r="BX81" s="11"/>
      <c r="BY81" s="11"/>
      <c r="BZ81" s="13"/>
    </row>
    <row r="82" spans="4:78" x14ac:dyDescent="0.2">
      <c r="D82" s="11"/>
      <c r="F82" s="11"/>
      <c r="G82" s="11"/>
      <c r="H82" s="11"/>
      <c r="I82" s="11"/>
      <c r="J82" s="11"/>
      <c r="K82" s="11"/>
      <c r="L82" s="11"/>
      <c r="M82" s="11"/>
      <c r="N82" s="11"/>
      <c r="O82" s="12"/>
      <c r="P82" s="11"/>
      <c r="Q82" s="11"/>
      <c r="R82" s="11"/>
      <c r="S82" s="11"/>
      <c r="T82" s="11"/>
      <c r="U82" s="12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3"/>
      <c r="BT82" s="14"/>
      <c r="BU82" s="11"/>
      <c r="BV82" s="11"/>
      <c r="BW82" s="11"/>
      <c r="BX82" s="11"/>
      <c r="BY82" s="11"/>
      <c r="BZ82" s="13"/>
    </row>
    <row r="83" spans="4:78" x14ac:dyDescent="0.2">
      <c r="D83" s="11"/>
      <c r="F83" s="11"/>
      <c r="G83" s="11"/>
      <c r="H83" s="11"/>
      <c r="I83" s="11"/>
      <c r="J83" s="11"/>
      <c r="K83" s="11"/>
      <c r="L83" s="11"/>
      <c r="M83" s="11"/>
      <c r="N83" s="11"/>
      <c r="O83" s="12"/>
      <c r="P83" s="11"/>
      <c r="Q83" s="11"/>
      <c r="R83" s="11"/>
      <c r="S83" s="11"/>
      <c r="T83" s="11"/>
      <c r="U83" s="12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3"/>
      <c r="BT83" s="14"/>
      <c r="BU83" s="11"/>
      <c r="BV83" s="11"/>
      <c r="BW83" s="11"/>
      <c r="BX83" s="11"/>
      <c r="BY83" s="11"/>
      <c r="BZ83" s="13"/>
    </row>
    <row r="84" spans="4:78" x14ac:dyDescent="0.2">
      <c r="D84" s="11"/>
      <c r="F84" s="11"/>
      <c r="G84" s="11"/>
      <c r="H84" s="11"/>
      <c r="I84" s="11"/>
      <c r="J84" s="11"/>
      <c r="K84" s="11"/>
      <c r="L84" s="11"/>
      <c r="M84" s="11"/>
      <c r="N84" s="11"/>
      <c r="O84" s="12"/>
      <c r="P84" s="11"/>
      <c r="Q84" s="11"/>
      <c r="R84" s="11"/>
      <c r="S84" s="11"/>
      <c r="T84" s="11"/>
      <c r="U84" s="12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3"/>
      <c r="BT84" s="14"/>
      <c r="BU84" s="11"/>
      <c r="BV84" s="11"/>
      <c r="BW84" s="11"/>
      <c r="BX84" s="11"/>
      <c r="BY84" s="11"/>
      <c r="BZ84" s="13"/>
    </row>
    <row r="85" spans="4:78" x14ac:dyDescent="0.2">
      <c r="D85" s="11"/>
      <c r="F85" s="11"/>
      <c r="G85" s="11"/>
      <c r="H85" s="11"/>
      <c r="I85" s="11"/>
      <c r="J85" s="11"/>
      <c r="K85" s="11"/>
      <c r="L85" s="11"/>
      <c r="M85" s="11"/>
      <c r="N85" s="11"/>
      <c r="O85" s="12"/>
      <c r="P85" s="11"/>
      <c r="Q85" s="11"/>
      <c r="R85" s="11"/>
      <c r="S85" s="11"/>
      <c r="T85" s="11"/>
      <c r="U85" s="12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3"/>
      <c r="BT85" s="14"/>
      <c r="BU85" s="11"/>
      <c r="BV85" s="11"/>
      <c r="BW85" s="11"/>
      <c r="BX85" s="11"/>
      <c r="BY85" s="11"/>
      <c r="BZ85" s="13"/>
    </row>
    <row r="86" spans="4:78" x14ac:dyDescent="0.2">
      <c r="D86" s="11"/>
      <c r="F86" s="11"/>
      <c r="G86" s="11"/>
      <c r="H86" s="11"/>
      <c r="I86" s="11"/>
      <c r="J86" s="11"/>
      <c r="K86" s="11"/>
      <c r="L86" s="11"/>
      <c r="M86" s="11"/>
      <c r="N86" s="11"/>
      <c r="O86" s="12"/>
      <c r="P86" s="11"/>
      <c r="Q86" s="11"/>
      <c r="R86" s="11"/>
      <c r="S86" s="11"/>
      <c r="T86" s="11"/>
      <c r="U86" s="12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3"/>
      <c r="BT86" s="14"/>
      <c r="BU86" s="11"/>
      <c r="BV86" s="11"/>
      <c r="BW86" s="11"/>
      <c r="BX86" s="11"/>
      <c r="BY86" s="11"/>
      <c r="BZ86" s="13"/>
    </row>
    <row r="87" spans="4:78" x14ac:dyDescent="0.2">
      <c r="D87" s="11"/>
      <c r="F87" s="11"/>
      <c r="G87" s="11"/>
      <c r="H87" s="11"/>
      <c r="I87" s="11"/>
      <c r="J87" s="11"/>
      <c r="K87" s="11"/>
      <c r="L87" s="11"/>
      <c r="M87" s="11"/>
      <c r="N87" s="11"/>
      <c r="O87" s="12"/>
      <c r="P87" s="11"/>
      <c r="Q87" s="11"/>
      <c r="R87" s="11"/>
      <c r="S87" s="11"/>
      <c r="T87" s="11"/>
      <c r="U87" s="12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3"/>
      <c r="BT87" s="14"/>
      <c r="BU87" s="11"/>
      <c r="BV87" s="11"/>
      <c r="BW87" s="11"/>
      <c r="BX87" s="11"/>
      <c r="BY87" s="11"/>
      <c r="BZ87" s="13"/>
    </row>
    <row r="88" spans="4:78" x14ac:dyDescent="0.2">
      <c r="D88" s="11"/>
      <c r="F88" s="11"/>
      <c r="G88" s="11"/>
      <c r="H88" s="11"/>
      <c r="I88" s="11"/>
      <c r="J88" s="11"/>
      <c r="K88" s="11"/>
      <c r="L88" s="11"/>
      <c r="M88" s="11"/>
      <c r="N88" s="11"/>
      <c r="O88" s="12"/>
      <c r="P88" s="11"/>
      <c r="Q88" s="11"/>
      <c r="R88" s="11"/>
      <c r="S88" s="11"/>
      <c r="T88" s="11"/>
      <c r="U88" s="12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3"/>
      <c r="BT88" s="14"/>
      <c r="BU88" s="11"/>
      <c r="BV88" s="11"/>
      <c r="BW88" s="11"/>
      <c r="BX88" s="11"/>
      <c r="BY88" s="11"/>
      <c r="BZ88" s="13"/>
    </row>
    <row r="89" spans="4:78" x14ac:dyDescent="0.2">
      <c r="D89" s="11"/>
      <c r="F89" s="11"/>
      <c r="G89" s="11"/>
      <c r="H89" s="11"/>
      <c r="I89" s="11"/>
      <c r="J89" s="11"/>
      <c r="K89" s="11"/>
      <c r="L89" s="11"/>
      <c r="M89" s="11"/>
      <c r="N89" s="11"/>
      <c r="O89" s="12"/>
      <c r="P89" s="11"/>
      <c r="Q89" s="11"/>
      <c r="R89" s="11"/>
      <c r="S89" s="11"/>
      <c r="T89" s="11"/>
      <c r="U89" s="12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3"/>
      <c r="BT89" s="14"/>
      <c r="BU89" s="11"/>
      <c r="BV89" s="11"/>
      <c r="BW89" s="11"/>
      <c r="BX89" s="11"/>
      <c r="BY89" s="11"/>
      <c r="BZ89" s="13"/>
    </row>
    <row r="90" spans="4:78" x14ac:dyDescent="0.2">
      <c r="D90" s="11"/>
      <c r="F90" s="11"/>
      <c r="G90" s="11"/>
      <c r="H90" s="11"/>
      <c r="I90" s="11"/>
      <c r="J90" s="11"/>
      <c r="K90" s="11"/>
      <c r="L90" s="11"/>
      <c r="M90" s="11"/>
      <c r="N90" s="11"/>
      <c r="O90" s="12"/>
      <c r="P90" s="11"/>
      <c r="Q90" s="11"/>
      <c r="R90" s="11"/>
      <c r="S90" s="11"/>
      <c r="T90" s="11"/>
      <c r="U90" s="12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3"/>
      <c r="BT90" s="14"/>
      <c r="BU90" s="11"/>
      <c r="BV90" s="11"/>
      <c r="BW90" s="11"/>
      <c r="BX90" s="11"/>
      <c r="BY90" s="11"/>
      <c r="BZ90" s="13"/>
    </row>
    <row r="91" spans="4:78" x14ac:dyDescent="0.2">
      <c r="D91" s="11"/>
      <c r="F91" s="11"/>
      <c r="G91" s="11"/>
      <c r="H91" s="11"/>
      <c r="I91" s="11"/>
      <c r="J91" s="11"/>
      <c r="K91" s="11"/>
      <c r="L91" s="11"/>
      <c r="M91" s="11"/>
      <c r="N91" s="11"/>
      <c r="O91" s="12"/>
      <c r="P91" s="11"/>
      <c r="Q91" s="11"/>
      <c r="R91" s="11"/>
      <c r="S91" s="11"/>
      <c r="T91" s="11"/>
      <c r="U91" s="12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3"/>
      <c r="BT91" s="14"/>
      <c r="BU91" s="11"/>
      <c r="BV91" s="11"/>
      <c r="BW91" s="11"/>
      <c r="BX91" s="11"/>
      <c r="BY91" s="11"/>
      <c r="BZ91" s="13"/>
    </row>
    <row r="92" spans="4:78" x14ac:dyDescent="0.2">
      <c r="D92" s="11"/>
      <c r="F92" s="11"/>
      <c r="G92" s="11"/>
      <c r="H92" s="11"/>
      <c r="I92" s="11"/>
      <c r="J92" s="11"/>
      <c r="K92" s="11"/>
      <c r="L92" s="11"/>
      <c r="M92" s="11"/>
      <c r="N92" s="11"/>
      <c r="O92" s="12"/>
      <c r="P92" s="11"/>
      <c r="Q92" s="11"/>
      <c r="R92" s="11"/>
      <c r="S92" s="11"/>
      <c r="T92" s="11"/>
      <c r="U92" s="12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3"/>
      <c r="BT92" s="14"/>
      <c r="BU92" s="11"/>
      <c r="BV92" s="11"/>
      <c r="BW92" s="11"/>
      <c r="BX92" s="11"/>
      <c r="BY92" s="11"/>
      <c r="BZ92" s="13"/>
    </row>
    <row r="93" spans="4:78" x14ac:dyDescent="0.2">
      <c r="D93" s="11"/>
      <c r="F93" s="11"/>
      <c r="G93" s="11"/>
      <c r="H93" s="11"/>
      <c r="I93" s="11"/>
      <c r="J93" s="11"/>
      <c r="K93" s="11"/>
      <c r="L93" s="11"/>
      <c r="M93" s="11"/>
      <c r="N93" s="11"/>
      <c r="O93" s="12"/>
      <c r="P93" s="11"/>
      <c r="Q93" s="11"/>
      <c r="R93" s="11"/>
      <c r="S93" s="11"/>
      <c r="T93" s="11"/>
      <c r="U93" s="12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3"/>
      <c r="BT93" s="14"/>
      <c r="BU93" s="11"/>
      <c r="BV93" s="11"/>
      <c r="BW93" s="11"/>
      <c r="BX93" s="11"/>
      <c r="BY93" s="11"/>
      <c r="BZ93" s="13"/>
    </row>
    <row r="94" spans="4:78" x14ac:dyDescent="0.2">
      <c r="D94" s="11"/>
      <c r="F94" s="11"/>
      <c r="G94" s="11"/>
      <c r="H94" s="11"/>
      <c r="I94" s="11"/>
      <c r="J94" s="11"/>
      <c r="K94" s="11"/>
      <c r="L94" s="11"/>
      <c r="M94" s="11"/>
      <c r="N94" s="11"/>
      <c r="O94" s="12"/>
      <c r="P94" s="11"/>
      <c r="Q94" s="11"/>
      <c r="R94" s="11"/>
      <c r="S94" s="11"/>
      <c r="T94" s="11"/>
      <c r="U94" s="12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3"/>
      <c r="BT94" s="14"/>
      <c r="BU94" s="11"/>
      <c r="BV94" s="11"/>
      <c r="BW94" s="11"/>
      <c r="BX94" s="11"/>
      <c r="BY94" s="11"/>
      <c r="BZ94" s="13"/>
    </row>
    <row r="95" spans="4:78" x14ac:dyDescent="0.2">
      <c r="D95" s="11"/>
      <c r="F95" s="11"/>
      <c r="G95" s="11"/>
      <c r="H95" s="11"/>
      <c r="I95" s="11"/>
      <c r="J95" s="11"/>
      <c r="K95" s="11"/>
      <c r="L95" s="11"/>
      <c r="M95" s="11"/>
      <c r="N95" s="11"/>
      <c r="O95" s="12"/>
      <c r="P95" s="11"/>
      <c r="Q95" s="11"/>
      <c r="R95" s="11"/>
      <c r="S95" s="11"/>
      <c r="T95" s="11"/>
      <c r="U95" s="12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3"/>
      <c r="BT95" s="14"/>
      <c r="BU95" s="11"/>
      <c r="BV95" s="11"/>
      <c r="BW95" s="11"/>
      <c r="BX95" s="11"/>
      <c r="BY95" s="11"/>
      <c r="BZ95" s="13"/>
    </row>
    <row r="96" spans="4:78" x14ac:dyDescent="0.2">
      <c r="D96" s="11"/>
      <c r="F96" s="11"/>
      <c r="G96" s="11"/>
      <c r="H96" s="11"/>
      <c r="I96" s="11"/>
      <c r="J96" s="11"/>
      <c r="K96" s="11"/>
      <c r="L96" s="11"/>
      <c r="M96" s="11"/>
      <c r="N96" s="11"/>
      <c r="O96" s="12"/>
      <c r="P96" s="11"/>
      <c r="Q96" s="11"/>
      <c r="R96" s="11"/>
      <c r="S96" s="11"/>
      <c r="T96" s="11"/>
      <c r="U96" s="12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3"/>
      <c r="BT96" s="14"/>
      <c r="BU96" s="11"/>
      <c r="BV96" s="11"/>
      <c r="BW96" s="11"/>
      <c r="BX96" s="11"/>
      <c r="BY96" s="11"/>
      <c r="BZ96" s="13"/>
    </row>
    <row r="97" spans="4:78" x14ac:dyDescent="0.2">
      <c r="D97" s="11"/>
      <c r="F97" s="11"/>
      <c r="G97" s="11"/>
      <c r="H97" s="11"/>
      <c r="I97" s="11"/>
      <c r="J97" s="11"/>
      <c r="K97" s="11"/>
      <c r="L97" s="11"/>
      <c r="M97" s="11"/>
      <c r="N97" s="11"/>
      <c r="O97" s="12"/>
      <c r="P97" s="11"/>
      <c r="Q97" s="11"/>
      <c r="R97" s="11"/>
      <c r="S97" s="11"/>
      <c r="T97" s="11"/>
      <c r="U97" s="12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3"/>
      <c r="BT97" s="14"/>
      <c r="BU97" s="11"/>
      <c r="BV97" s="11"/>
      <c r="BW97" s="11"/>
      <c r="BX97" s="11"/>
      <c r="BY97" s="11"/>
      <c r="BZ97" s="13"/>
    </row>
    <row r="98" spans="4:78" x14ac:dyDescent="0.2">
      <c r="D98" s="11"/>
      <c r="F98" s="11"/>
      <c r="G98" s="11"/>
      <c r="H98" s="11"/>
      <c r="I98" s="11"/>
      <c r="J98" s="11"/>
      <c r="K98" s="11"/>
      <c r="L98" s="11"/>
      <c r="M98" s="11"/>
      <c r="N98" s="11"/>
      <c r="O98" s="12"/>
      <c r="P98" s="11"/>
      <c r="Q98" s="11"/>
      <c r="R98" s="11"/>
      <c r="S98" s="11"/>
      <c r="T98" s="11"/>
      <c r="U98" s="12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3"/>
      <c r="BT98" s="14"/>
      <c r="BU98" s="11"/>
      <c r="BV98" s="11"/>
      <c r="BW98" s="11"/>
      <c r="BX98" s="11"/>
      <c r="BY98" s="11"/>
      <c r="BZ98" s="13"/>
    </row>
    <row r="99" spans="4:78" x14ac:dyDescent="0.2">
      <c r="D99" s="11"/>
      <c r="F99" s="11"/>
      <c r="G99" s="11"/>
      <c r="H99" s="11"/>
      <c r="I99" s="11"/>
      <c r="J99" s="11"/>
      <c r="K99" s="11"/>
      <c r="L99" s="11"/>
      <c r="M99" s="11"/>
      <c r="N99" s="11"/>
      <c r="O99" s="12"/>
      <c r="P99" s="11"/>
      <c r="Q99" s="11"/>
      <c r="R99" s="11"/>
      <c r="S99" s="11"/>
      <c r="T99" s="11"/>
      <c r="U99" s="12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3"/>
      <c r="BT99" s="14"/>
      <c r="BU99" s="11"/>
      <c r="BV99" s="11"/>
      <c r="BW99" s="11"/>
      <c r="BX99" s="11"/>
      <c r="BY99" s="11"/>
      <c r="BZ99" s="13"/>
    </row>
    <row r="100" spans="4:78" x14ac:dyDescent="0.2">
      <c r="D100" s="11"/>
      <c r="F100" s="11"/>
      <c r="G100" s="11"/>
      <c r="H100" s="11"/>
      <c r="I100" s="11"/>
      <c r="J100" s="11"/>
      <c r="K100" s="11"/>
      <c r="L100" s="11"/>
      <c r="M100" s="11"/>
      <c r="N100" s="11"/>
      <c r="O100" s="12"/>
      <c r="P100" s="11"/>
      <c r="Q100" s="11"/>
      <c r="R100" s="11"/>
      <c r="S100" s="11"/>
      <c r="T100" s="11"/>
      <c r="U100" s="12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3"/>
      <c r="BT100" s="14"/>
      <c r="BU100" s="11"/>
      <c r="BV100" s="11"/>
      <c r="BW100" s="11"/>
      <c r="BX100" s="11"/>
      <c r="BY100" s="11"/>
      <c r="BZ100" s="13"/>
    </row>
    <row r="101" spans="4:78" x14ac:dyDescent="0.2">
      <c r="D101" s="11"/>
      <c r="F101" s="11"/>
      <c r="G101" s="11"/>
      <c r="H101" s="11"/>
      <c r="I101" s="11"/>
      <c r="J101" s="11"/>
      <c r="K101" s="11"/>
      <c r="L101" s="11"/>
      <c r="M101" s="11"/>
      <c r="N101" s="11"/>
      <c r="O101" s="12"/>
      <c r="P101" s="11"/>
      <c r="Q101" s="11"/>
      <c r="R101" s="11"/>
      <c r="S101" s="11"/>
      <c r="T101" s="11"/>
      <c r="U101" s="12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3"/>
      <c r="BT101" s="14"/>
      <c r="BU101" s="11"/>
      <c r="BV101" s="11"/>
      <c r="BW101" s="11"/>
      <c r="BX101" s="11"/>
      <c r="BY101" s="11"/>
      <c r="BZ101" s="13"/>
    </row>
    <row r="102" spans="4:78" x14ac:dyDescent="0.2">
      <c r="D102" s="11"/>
      <c r="F102" s="11"/>
      <c r="G102" s="11"/>
      <c r="H102" s="11"/>
      <c r="I102" s="11"/>
      <c r="J102" s="11"/>
      <c r="K102" s="11"/>
      <c r="L102" s="11"/>
      <c r="M102" s="11"/>
      <c r="N102" s="11"/>
      <c r="O102" s="12"/>
      <c r="P102" s="11"/>
      <c r="Q102" s="11"/>
      <c r="R102" s="11"/>
      <c r="S102" s="11"/>
      <c r="T102" s="11"/>
      <c r="U102" s="12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3"/>
      <c r="BT102" s="14"/>
      <c r="BU102" s="11"/>
      <c r="BV102" s="11"/>
      <c r="BW102" s="11"/>
      <c r="BX102" s="11"/>
      <c r="BY102" s="11"/>
      <c r="BZ102" s="13"/>
    </row>
    <row r="103" spans="4:78" x14ac:dyDescent="0.2">
      <c r="D103" s="11"/>
      <c r="F103" s="11"/>
      <c r="G103" s="11"/>
      <c r="H103" s="11"/>
      <c r="I103" s="11"/>
      <c r="J103" s="11"/>
      <c r="K103" s="11"/>
      <c r="L103" s="11"/>
      <c r="M103" s="11"/>
      <c r="N103" s="11"/>
      <c r="O103" s="12"/>
      <c r="P103" s="11"/>
      <c r="Q103" s="11"/>
      <c r="R103" s="11"/>
      <c r="S103" s="11"/>
      <c r="T103" s="11"/>
      <c r="U103" s="12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3"/>
      <c r="BT103" s="14"/>
      <c r="BU103" s="11"/>
      <c r="BV103" s="11"/>
      <c r="BW103" s="11"/>
      <c r="BX103" s="11"/>
      <c r="BY103" s="11"/>
      <c r="BZ103" s="13"/>
    </row>
    <row r="104" spans="4:78" x14ac:dyDescent="0.2">
      <c r="D104" s="11"/>
      <c r="F104" s="11"/>
      <c r="G104" s="11"/>
      <c r="H104" s="11"/>
      <c r="I104" s="11"/>
      <c r="J104" s="11"/>
      <c r="K104" s="11"/>
      <c r="L104" s="11"/>
      <c r="M104" s="11"/>
      <c r="N104" s="11"/>
      <c r="O104" s="12"/>
      <c r="P104" s="11"/>
      <c r="Q104" s="11"/>
      <c r="R104" s="11"/>
      <c r="S104" s="11"/>
      <c r="T104" s="11"/>
      <c r="U104" s="12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3"/>
      <c r="BT104" s="14"/>
      <c r="BU104" s="11"/>
      <c r="BV104" s="11"/>
      <c r="BW104" s="11"/>
      <c r="BX104" s="11"/>
      <c r="BY104" s="11"/>
      <c r="BZ104" s="13"/>
    </row>
    <row r="105" spans="4:78" x14ac:dyDescent="0.2">
      <c r="D105" s="11"/>
      <c r="F105" s="11"/>
      <c r="G105" s="11"/>
      <c r="H105" s="11"/>
      <c r="I105" s="11"/>
      <c r="J105" s="11"/>
      <c r="K105" s="11"/>
      <c r="L105" s="11"/>
      <c r="M105" s="11"/>
      <c r="N105" s="11"/>
      <c r="O105" s="12"/>
      <c r="P105" s="11"/>
      <c r="Q105" s="11"/>
      <c r="R105" s="11"/>
      <c r="S105" s="11"/>
      <c r="T105" s="11"/>
      <c r="U105" s="12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3"/>
      <c r="BT105" s="14"/>
      <c r="BU105" s="11"/>
      <c r="BV105" s="11"/>
      <c r="BW105" s="11"/>
      <c r="BX105" s="11"/>
      <c r="BY105" s="11"/>
      <c r="BZ105" s="13"/>
    </row>
    <row r="106" spans="4:78" x14ac:dyDescent="0.2">
      <c r="D106" s="11"/>
      <c r="F106" s="11"/>
      <c r="G106" s="11"/>
      <c r="H106" s="11"/>
      <c r="I106" s="11"/>
      <c r="J106" s="11"/>
      <c r="K106" s="11"/>
      <c r="L106" s="11"/>
      <c r="M106" s="11"/>
      <c r="N106" s="11"/>
      <c r="O106" s="12"/>
      <c r="P106" s="11"/>
      <c r="Q106" s="11"/>
      <c r="R106" s="11"/>
      <c r="S106" s="11"/>
      <c r="T106" s="11"/>
      <c r="U106" s="12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3"/>
      <c r="BT106" s="14"/>
      <c r="BU106" s="11"/>
      <c r="BV106" s="11"/>
      <c r="BW106" s="11"/>
      <c r="BX106" s="11"/>
      <c r="BY106" s="11"/>
      <c r="BZ106" s="13"/>
    </row>
    <row r="107" spans="4:78" x14ac:dyDescent="0.2">
      <c r="D107" s="11"/>
      <c r="F107" s="11"/>
      <c r="G107" s="11"/>
      <c r="H107" s="11"/>
      <c r="I107" s="11"/>
      <c r="J107" s="11"/>
      <c r="K107" s="11"/>
      <c r="L107" s="11"/>
      <c r="M107" s="11"/>
      <c r="N107" s="11"/>
      <c r="O107" s="12"/>
      <c r="P107" s="11"/>
      <c r="Q107" s="11"/>
      <c r="R107" s="11"/>
      <c r="S107" s="11"/>
      <c r="T107" s="11"/>
      <c r="U107" s="12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3"/>
      <c r="BT107" s="14"/>
      <c r="BU107" s="11"/>
      <c r="BV107" s="11"/>
      <c r="BW107" s="11"/>
      <c r="BX107" s="11"/>
      <c r="BY107" s="11"/>
      <c r="BZ107" s="13"/>
    </row>
    <row r="108" spans="4:78" x14ac:dyDescent="0.2">
      <c r="D108" s="11"/>
      <c r="F108" s="11"/>
      <c r="G108" s="11"/>
      <c r="H108" s="11"/>
      <c r="I108" s="11"/>
      <c r="J108" s="11"/>
      <c r="K108" s="11"/>
      <c r="L108" s="11"/>
      <c r="M108" s="11"/>
      <c r="N108" s="11"/>
      <c r="O108" s="12"/>
      <c r="P108" s="11"/>
      <c r="Q108" s="11"/>
      <c r="R108" s="11"/>
      <c r="S108" s="11"/>
      <c r="T108" s="11"/>
      <c r="U108" s="12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3"/>
      <c r="BT108" s="14"/>
      <c r="BU108" s="11"/>
      <c r="BV108" s="11"/>
      <c r="BW108" s="11"/>
      <c r="BX108" s="11"/>
      <c r="BY108" s="11"/>
      <c r="BZ108" s="13"/>
    </row>
    <row r="109" spans="4:78" x14ac:dyDescent="0.2">
      <c r="D109" s="11"/>
      <c r="F109" s="11"/>
      <c r="G109" s="11"/>
      <c r="H109" s="11"/>
      <c r="I109" s="11"/>
      <c r="J109" s="11"/>
      <c r="K109" s="11"/>
      <c r="L109" s="11"/>
      <c r="M109" s="11"/>
      <c r="N109" s="11"/>
      <c r="O109" s="12"/>
      <c r="P109" s="11"/>
      <c r="Q109" s="11"/>
      <c r="R109" s="11"/>
      <c r="S109" s="11"/>
      <c r="T109" s="11"/>
      <c r="U109" s="12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3"/>
      <c r="BT109" s="14"/>
      <c r="BU109" s="11"/>
      <c r="BV109" s="11"/>
      <c r="BW109" s="11"/>
      <c r="BX109" s="11"/>
      <c r="BY109" s="11"/>
      <c r="BZ109" s="13"/>
    </row>
    <row r="110" spans="4:78" x14ac:dyDescent="0.2">
      <c r="D110" s="11"/>
      <c r="F110" s="11"/>
      <c r="G110" s="11"/>
      <c r="H110" s="11"/>
      <c r="I110" s="11"/>
      <c r="J110" s="11"/>
      <c r="K110" s="11"/>
      <c r="L110" s="11"/>
      <c r="M110" s="11"/>
      <c r="N110" s="11"/>
      <c r="O110" s="12"/>
      <c r="P110" s="11"/>
      <c r="Q110" s="11"/>
      <c r="R110" s="11"/>
      <c r="S110" s="11"/>
      <c r="T110" s="11"/>
      <c r="U110" s="12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3"/>
      <c r="BT110" s="14"/>
      <c r="BU110" s="11"/>
      <c r="BV110" s="11"/>
      <c r="BW110" s="11"/>
      <c r="BX110" s="11"/>
      <c r="BY110" s="11"/>
      <c r="BZ110" s="13"/>
    </row>
    <row r="111" spans="4:78" x14ac:dyDescent="0.2">
      <c r="D111" s="11"/>
      <c r="F111" s="11"/>
      <c r="G111" s="11"/>
      <c r="H111" s="11"/>
      <c r="I111" s="11"/>
      <c r="J111" s="11"/>
      <c r="K111" s="11"/>
      <c r="L111" s="11"/>
      <c r="M111" s="11"/>
      <c r="N111" s="11"/>
      <c r="O111" s="12"/>
      <c r="P111" s="11"/>
      <c r="Q111" s="11"/>
      <c r="R111" s="11"/>
      <c r="S111" s="11"/>
      <c r="T111" s="11"/>
      <c r="U111" s="12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3"/>
      <c r="BT111" s="14"/>
      <c r="BU111" s="11"/>
      <c r="BV111" s="11"/>
      <c r="BW111" s="11"/>
      <c r="BX111" s="11"/>
      <c r="BY111" s="11"/>
      <c r="BZ111" s="13"/>
    </row>
    <row r="112" spans="4:78" x14ac:dyDescent="0.2">
      <c r="D112" s="11"/>
      <c r="F112" s="11"/>
      <c r="G112" s="11"/>
      <c r="H112" s="11"/>
      <c r="I112" s="11"/>
      <c r="J112" s="11"/>
      <c r="K112" s="11"/>
      <c r="L112" s="11"/>
      <c r="M112" s="11"/>
      <c r="N112" s="11"/>
      <c r="O112" s="12"/>
      <c r="P112" s="11"/>
      <c r="Q112" s="11"/>
      <c r="R112" s="11"/>
      <c r="S112" s="11"/>
      <c r="T112" s="11"/>
      <c r="U112" s="12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3"/>
      <c r="BT112" s="14"/>
      <c r="BU112" s="11"/>
      <c r="BV112" s="11"/>
      <c r="BW112" s="11"/>
      <c r="BX112" s="11"/>
      <c r="BY112" s="11"/>
      <c r="BZ112" s="13"/>
    </row>
    <row r="113" spans="4:78" x14ac:dyDescent="0.2">
      <c r="D113" s="11"/>
      <c r="F113" s="11"/>
      <c r="G113" s="11"/>
      <c r="H113" s="11"/>
      <c r="I113" s="11"/>
      <c r="J113" s="11"/>
      <c r="K113" s="11"/>
      <c r="L113" s="11"/>
      <c r="M113" s="11"/>
      <c r="N113" s="11"/>
      <c r="O113" s="12"/>
      <c r="P113" s="11"/>
      <c r="Q113" s="11"/>
      <c r="R113" s="11"/>
      <c r="S113" s="11"/>
      <c r="T113" s="11"/>
      <c r="U113" s="12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3"/>
      <c r="BT113" s="14"/>
      <c r="BU113" s="11"/>
      <c r="BV113" s="11"/>
      <c r="BW113" s="11"/>
      <c r="BX113" s="11"/>
      <c r="BY113" s="11"/>
      <c r="BZ113" s="13"/>
    </row>
    <row r="114" spans="4:78" x14ac:dyDescent="0.2">
      <c r="D114" s="11"/>
      <c r="F114" s="11"/>
      <c r="G114" s="11"/>
      <c r="H114" s="11"/>
      <c r="I114" s="11"/>
      <c r="J114" s="11"/>
      <c r="K114" s="11"/>
      <c r="L114" s="11"/>
      <c r="M114" s="11"/>
      <c r="N114" s="11"/>
      <c r="O114" s="12"/>
      <c r="P114" s="11"/>
      <c r="Q114" s="11"/>
      <c r="R114" s="11"/>
      <c r="S114" s="11"/>
      <c r="T114" s="11"/>
      <c r="U114" s="12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3"/>
      <c r="BT114" s="14"/>
      <c r="BU114" s="11"/>
      <c r="BV114" s="11"/>
      <c r="BW114" s="11"/>
      <c r="BX114" s="11"/>
      <c r="BY114" s="11"/>
      <c r="BZ114" s="13"/>
    </row>
    <row r="115" spans="4:78" x14ac:dyDescent="0.2">
      <c r="D115" s="11"/>
      <c r="F115" s="11"/>
      <c r="G115" s="11"/>
      <c r="H115" s="11"/>
      <c r="I115" s="11"/>
      <c r="J115" s="11"/>
      <c r="K115" s="11"/>
      <c r="L115" s="11"/>
      <c r="M115" s="11"/>
      <c r="N115" s="11"/>
      <c r="O115" s="12"/>
      <c r="P115" s="11"/>
      <c r="Q115" s="11"/>
      <c r="R115" s="11"/>
      <c r="S115" s="11"/>
      <c r="T115" s="11"/>
      <c r="U115" s="12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3"/>
      <c r="BT115" s="14"/>
      <c r="BU115" s="11"/>
      <c r="BV115" s="11"/>
      <c r="BW115" s="11"/>
      <c r="BX115" s="11"/>
      <c r="BY115" s="11"/>
      <c r="BZ115" s="13"/>
    </row>
    <row r="116" spans="4:78" x14ac:dyDescent="0.2">
      <c r="D116" s="11"/>
      <c r="F116" s="11"/>
      <c r="G116" s="11"/>
      <c r="H116" s="11"/>
      <c r="I116" s="11"/>
      <c r="J116" s="11"/>
      <c r="K116" s="11"/>
      <c r="L116" s="11"/>
      <c r="M116" s="11"/>
      <c r="N116" s="11"/>
      <c r="O116" s="12"/>
      <c r="P116" s="11"/>
      <c r="Q116" s="11"/>
      <c r="R116" s="11"/>
      <c r="S116" s="11"/>
      <c r="T116" s="11"/>
      <c r="U116" s="12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3"/>
      <c r="BT116" s="14"/>
      <c r="BU116" s="11"/>
      <c r="BV116" s="11"/>
      <c r="BW116" s="11"/>
      <c r="BX116" s="11"/>
      <c r="BY116" s="11"/>
      <c r="BZ116" s="13"/>
    </row>
    <row r="117" spans="4:78" x14ac:dyDescent="0.2">
      <c r="D117" s="11"/>
      <c r="F117" s="11"/>
      <c r="G117" s="11"/>
      <c r="H117" s="11"/>
      <c r="I117" s="11"/>
      <c r="J117" s="11"/>
      <c r="K117" s="11"/>
      <c r="L117" s="11"/>
      <c r="M117" s="11"/>
      <c r="N117" s="11"/>
      <c r="O117" s="12"/>
      <c r="P117" s="11"/>
      <c r="Q117" s="11"/>
      <c r="R117" s="11"/>
      <c r="S117" s="11"/>
      <c r="T117" s="11"/>
      <c r="U117" s="12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3"/>
      <c r="BT117" s="14"/>
      <c r="BU117" s="11"/>
      <c r="BV117" s="11"/>
      <c r="BW117" s="11"/>
      <c r="BX117" s="11"/>
      <c r="BY117" s="11"/>
      <c r="BZ117" s="13"/>
    </row>
    <row r="118" spans="4:78" x14ac:dyDescent="0.2">
      <c r="D118" s="11"/>
      <c r="F118" s="11"/>
      <c r="G118" s="11"/>
      <c r="H118" s="11"/>
      <c r="I118" s="11"/>
      <c r="J118" s="11"/>
      <c r="K118" s="11"/>
      <c r="L118" s="11"/>
      <c r="M118" s="11"/>
      <c r="N118" s="11"/>
      <c r="O118" s="12"/>
      <c r="P118" s="11"/>
      <c r="Q118" s="11"/>
      <c r="R118" s="11"/>
      <c r="S118" s="11"/>
      <c r="T118" s="11"/>
      <c r="U118" s="12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3"/>
      <c r="BT118" s="14"/>
      <c r="BU118" s="11"/>
      <c r="BV118" s="11"/>
      <c r="BW118" s="11"/>
      <c r="BX118" s="11"/>
      <c r="BY118" s="11"/>
      <c r="BZ118" s="13"/>
    </row>
    <row r="119" spans="4:78" x14ac:dyDescent="0.2">
      <c r="D119" s="11"/>
      <c r="F119" s="11"/>
      <c r="G119" s="11"/>
      <c r="H119" s="11"/>
      <c r="I119" s="11"/>
      <c r="J119" s="11"/>
      <c r="K119" s="11"/>
      <c r="L119" s="11"/>
      <c r="M119" s="11"/>
      <c r="N119" s="11"/>
      <c r="O119" s="12"/>
      <c r="P119" s="11"/>
      <c r="Q119" s="11"/>
      <c r="R119" s="11"/>
      <c r="S119" s="11"/>
      <c r="T119" s="11"/>
      <c r="U119" s="12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3"/>
      <c r="BT119" s="14"/>
      <c r="BU119" s="11"/>
      <c r="BV119" s="11"/>
      <c r="BW119" s="11"/>
      <c r="BX119" s="11"/>
      <c r="BY119" s="11"/>
      <c r="BZ119" s="13"/>
    </row>
    <row r="120" spans="4:78" x14ac:dyDescent="0.2">
      <c r="D120" s="11"/>
      <c r="F120" s="11"/>
      <c r="G120" s="11"/>
      <c r="H120" s="11"/>
      <c r="I120" s="11"/>
      <c r="J120" s="11"/>
      <c r="K120" s="11"/>
      <c r="L120" s="11"/>
      <c r="M120" s="11"/>
      <c r="N120" s="11"/>
      <c r="O120" s="12"/>
      <c r="P120" s="11"/>
      <c r="Q120" s="11"/>
      <c r="R120" s="11"/>
      <c r="S120" s="11"/>
      <c r="T120" s="11"/>
      <c r="U120" s="12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3"/>
      <c r="BT120" s="14"/>
      <c r="BU120" s="11"/>
      <c r="BV120" s="11"/>
      <c r="BW120" s="11"/>
      <c r="BX120" s="11"/>
      <c r="BY120" s="11"/>
      <c r="BZ120" s="13"/>
    </row>
    <row r="121" spans="4:78" x14ac:dyDescent="0.2">
      <c r="D121" s="11"/>
      <c r="F121" s="11"/>
      <c r="G121" s="11"/>
      <c r="H121" s="11"/>
      <c r="I121" s="11"/>
      <c r="J121" s="11"/>
      <c r="K121" s="11"/>
      <c r="L121" s="11"/>
      <c r="M121" s="11"/>
      <c r="N121" s="11"/>
      <c r="O121" s="12"/>
      <c r="P121" s="11"/>
      <c r="Q121" s="11"/>
      <c r="R121" s="11"/>
      <c r="S121" s="11"/>
      <c r="T121" s="11"/>
      <c r="U121" s="12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3"/>
      <c r="BT121" s="14"/>
      <c r="BU121" s="11"/>
      <c r="BV121" s="11"/>
      <c r="BW121" s="11"/>
      <c r="BX121" s="11"/>
      <c r="BY121" s="11"/>
      <c r="BZ121" s="13"/>
    </row>
    <row r="122" spans="4:78" x14ac:dyDescent="0.2">
      <c r="D122" s="11"/>
      <c r="F122" s="11"/>
      <c r="G122" s="11"/>
      <c r="H122" s="11"/>
      <c r="I122" s="11"/>
      <c r="J122" s="11"/>
      <c r="K122" s="11"/>
      <c r="L122" s="11"/>
      <c r="M122" s="11"/>
      <c r="N122" s="11"/>
      <c r="O122" s="12"/>
      <c r="P122" s="11"/>
      <c r="Q122" s="11"/>
      <c r="R122" s="11"/>
      <c r="S122" s="11"/>
      <c r="T122" s="11"/>
      <c r="U122" s="12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3"/>
      <c r="BT122" s="14"/>
      <c r="BU122" s="11"/>
      <c r="BV122" s="11"/>
      <c r="BW122" s="11"/>
      <c r="BX122" s="11"/>
      <c r="BY122" s="11"/>
      <c r="BZ122" s="13"/>
    </row>
    <row r="123" spans="4:78" x14ac:dyDescent="0.2">
      <c r="D123" s="11"/>
      <c r="F123" s="11"/>
      <c r="G123" s="11"/>
      <c r="H123" s="11"/>
      <c r="I123" s="11"/>
      <c r="J123" s="11"/>
      <c r="K123" s="11"/>
      <c r="L123" s="11"/>
      <c r="M123" s="11"/>
      <c r="N123" s="11"/>
      <c r="O123" s="12"/>
      <c r="P123" s="11"/>
      <c r="Q123" s="11"/>
      <c r="R123" s="11"/>
      <c r="S123" s="11"/>
      <c r="T123" s="11"/>
      <c r="U123" s="12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3"/>
      <c r="BT123" s="14"/>
      <c r="BU123" s="11"/>
      <c r="BV123" s="11"/>
      <c r="BW123" s="11"/>
      <c r="BX123" s="11"/>
      <c r="BY123" s="11"/>
      <c r="BZ123" s="13"/>
    </row>
    <row r="124" spans="4:78" x14ac:dyDescent="0.2">
      <c r="D124" s="11"/>
      <c r="F124" s="11"/>
      <c r="G124" s="11"/>
      <c r="H124" s="11"/>
      <c r="I124" s="11"/>
      <c r="J124" s="11"/>
      <c r="K124" s="11"/>
      <c r="L124" s="11"/>
      <c r="M124" s="11"/>
      <c r="N124" s="11"/>
      <c r="O124" s="12"/>
      <c r="P124" s="11"/>
      <c r="Q124" s="11"/>
      <c r="R124" s="11"/>
      <c r="S124" s="11"/>
      <c r="T124" s="11"/>
      <c r="U124" s="12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3"/>
      <c r="BT124" s="14"/>
      <c r="BU124" s="11"/>
      <c r="BV124" s="11"/>
      <c r="BW124" s="11"/>
      <c r="BX124" s="11"/>
      <c r="BY124" s="11"/>
      <c r="BZ124" s="13"/>
    </row>
    <row r="125" spans="4:78" x14ac:dyDescent="0.2">
      <c r="D125" s="11"/>
      <c r="F125" s="11"/>
      <c r="G125" s="11"/>
      <c r="H125" s="11"/>
      <c r="I125" s="11"/>
      <c r="J125" s="11"/>
      <c r="K125" s="11"/>
      <c r="L125" s="11"/>
      <c r="M125" s="11"/>
      <c r="N125" s="11"/>
      <c r="O125" s="12"/>
      <c r="P125" s="11"/>
      <c r="Q125" s="11"/>
      <c r="R125" s="11"/>
      <c r="S125" s="11"/>
      <c r="T125" s="11"/>
      <c r="U125" s="12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3"/>
      <c r="BT125" s="14"/>
      <c r="BU125" s="11"/>
      <c r="BV125" s="11"/>
      <c r="BW125" s="11"/>
      <c r="BX125" s="11"/>
      <c r="BY125" s="11"/>
      <c r="BZ125" s="13"/>
    </row>
    <row r="126" spans="4:78" x14ac:dyDescent="0.2">
      <c r="D126" s="11"/>
      <c r="F126" s="11"/>
      <c r="G126" s="11"/>
      <c r="H126" s="11"/>
      <c r="I126" s="11"/>
      <c r="J126" s="11"/>
      <c r="K126" s="11"/>
      <c r="L126" s="11"/>
      <c r="M126" s="11"/>
      <c r="N126" s="11"/>
      <c r="O126" s="12"/>
      <c r="P126" s="11"/>
      <c r="Q126" s="11"/>
      <c r="R126" s="11"/>
      <c r="S126" s="11"/>
      <c r="T126" s="11"/>
      <c r="U126" s="12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3"/>
      <c r="BT126" s="14"/>
      <c r="BU126" s="11"/>
      <c r="BV126" s="11"/>
      <c r="BW126" s="11"/>
      <c r="BX126" s="11"/>
      <c r="BY126" s="11"/>
      <c r="BZ126" s="13"/>
    </row>
    <row r="127" spans="4:78" x14ac:dyDescent="0.2">
      <c r="D127" s="11"/>
      <c r="F127" s="11"/>
      <c r="G127" s="11"/>
      <c r="H127" s="11"/>
      <c r="I127" s="11"/>
      <c r="J127" s="11"/>
      <c r="K127" s="11"/>
      <c r="L127" s="11"/>
      <c r="M127" s="11"/>
      <c r="N127" s="11"/>
      <c r="O127" s="12"/>
      <c r="P127" s="11"/>
      <c r="Q127" s="11"/>
      <c r="R127" s="11"/>
      <c r="S127" s="11"/>
      <c r="T127" s="11"/>
      <c r="U127" s="12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3"/>
      <c r="BT127" s="14"/>
      <c r="BU127" s="11"/>
      <c r="BV127" s="11"/>
      <c r="BW127" s="11"/>
      <c r="BX127" s="11"/>
      <c r="BY127" s="11"/>
      <c r="BZ127" s="13"/>
    </row>
    <row r="128" spans="4:78" x14ac:dyDescent="0.2">
      <c r="D128" s="11"/>
      <c r="F128" s="11"/>
      <c r="G128" s="11"/>
      <c r="H128" s="11"/>
      <c r="I128" s="11"/>
      <c r="J128" s="11"/>
      <c r="K128" s="11"/>
      <c r="L128" s="11"/>
      <c r="M128" s="11"/>
      <c r="N128" s="11"/>
      <c r="O128" s="12"/>
      <c r="P128" s="11"/>
      <c r="Q128" s="11"/>
      <c r="R128" s="11"/>
      <c r="S128" s="11"/>
      <c r="T128" s="11"/>
      <c r="U128" s="12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3"/>
      <c r="BT128" s="14"/>
      <c r="BU128" s="11"/>
      <c r="BV128" s="11"/>
      <c r="BW128" s="11"/>
      <c r="BX128" s="11"/>
      <c r="BY128" s="11"/>
      <c r="BZ128" s="13"/>
    </row>
    <row r="129" spans="4:78" x14ac:dyDescent="0.2">
      <c r="D129" s="11"/>
      <c r="F129" s="11"/>
      <c r="G129" s="11"/>
      <c r="H129" s="11"/>
      <c r="I129" s="11"/>
      <c r="J129" s="11"/>
      <c r="K129" s="11"/>
      <c r="L129" s="11"/>
      <c r="M129" s="11"/>
      <c r="N129" s="11"/>
      <c r="O129" s="12"/>
      <c r="P129" s="11"/>
      <c r="Q129" s="11"/>
      <c r="R129" s="11"/>
      <c r="S129" s="11"/>
      <c r="T129" s="11"/>
      <c r="U129" s="12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3"/>
      <c r="BT129" s="14"/>
      <c r="BU129" s="11"/>
      <c r="BV129" s="11"/>
      <c r="BW129" s="11"/>
      <c r="BX129" s="11"/>
      <c r="BY129" s="11"/>
      <c r="BZ129" s="13"/>
    </row>
    <row r="130" spans="4:78" x14ac:dyDescent="0.2">
      <c r="D130" s="11"/>
      <c r="F130" s="11"/>
      <c r="G130" s="11"/>
      <c r="H130" s="11"/>
      <c r="I130" s="11"/>
      <c r="J130" s="11"/>
      <c r="K130" s="11"/>
      <c r="L130" s="11"/>
      <c r="M130" s="11"/>
      <c r="N130" s="11"/>
      <c r="O130" s="12"/>
      <c r="P130" s="11"/>
      <c r="Q130" s="11"/>
      <c r="R130" s="11"/>
      <c r="S130" s="11"/>
      <c r="T130" s="11"/>
      <c r="U130" s="12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3"/>
      <c r="BT130" s="14"/>
      <c r="BU130" s="11"/>
      <c r="BV130" s="11"/>
      <c r="BW130" s="11"/>
      <c r="BX130" s="11"/>
      <c r="BY130" s="11"/>
      <c r="BZ130" s="13"/>
    </row>
    <row r="131" spans="4:78" x14ac:dyDescent="0.2">
      <c r="D131" s="11"/>
      <c r="F131" s="11"/>
      <c r="G131" s="11"/>
      <c r="H131" s="11"/>
      <c r="I131" s="11"/>
      <c r="J131" s="11"/>
      <c r="K131" s="11"/>
      <c r="L131" s="11"/>
      <c r="M131" s="11"/>
      <c r="N131" s="11"/>
      <c r="O131" s="12"/>
      <c r="P131" s="11"/>
      <c r="Q131" s="11"/>
      <c r="R131" s="11"/>
      <c r="S131" s="11"/>
      <c r="T131" s="11"/>
      <c r="U131" s="12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3"/>
      <c r="BT131" s="14"/>
      <c r="BU131" s="11"/>
      <c r="BV131" s="11"/>
      <c r="BW131" s="11"/>
      <c r="BX131" s="11"/>
      <c r="BY131" s="11"/>
      <c r="BZ131" s="13"/>
    </row>
    <row r="132" spans="4:78" x14ac:dyDescent="0.2">
      <c r="D132" s="11"/>
      <c r="F132" s="11"/>
      <c r="G132" s="11"/>
      <c r="H132" s="11"/>
      <c r="I132" s="11"/>
      <c r="J132" s="11"/>
      <c r="K132" s="11"/>
      <c r="L132" s="11"/>
      <c r="M132" s="11"/>
      <c r="N132" s="11"/>
      <c r="O132" s="12"/>
      <c r="P132" s="11"/>
      <c r="Q132" s="11"/>
      <c r="R132" s="11"/>
      <c r="S132" s="11"/>
      <c r="T132" s="11"/>
      <c r="U132" s="12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3"/>
      <c r="BT132" s="14"/>
      <c r="BU132" s="11"/>
      <c r="BV132" s="11"/>
      <c r="BW132" s="11"/>
      <c r="BX132" s="11"/>
      <c r="BY132" s="11"/>
      <c r="BZ132" s="13"/>
    </row>
    <row r="133" spans="4:78" x14ac:dyDescent="0.2">
      <c r="D133" s="11"/>
      <c r="F133" s="11"/>
      <c r="G133" s="11"/>
      <c r="H133" s="11"/>
      <c r="I133" s="11"/>
      <c r="J133" s="11"/>
      <c r="K133" s="11"/>
      <c r="L133" s="11"/>
      <c r="M133" s="11"/>
      <c r="N133" s="11"/>
      <c r="O133" s="12"/>
      <c r="P133" s="11"/>
      <c r="Q133" s="11"/>
      <c r="R133" s="11"/>
      <c r="S133" s="11"/>
      <c r="T133" s="11"/>
      <c r="U133" s="12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3"/>
      <c r="BT133" s="14"/>
      <c r="BU133" s="11"/>
      <c r="BV133" s="11"/>
      <c r="BW133" s="11"/>
      <c r="BX133" s="11"/>
      <c r="BY133" s="11"/>
      <c r="BZ133" s="13"/>
    </row>
    <row r="134" spans="4:78" x14ac:dyDescent="0.2">
      <c r="D134" s="11"/>
      <c r="F134" s="11"/>
      <c r="G134" s="11"/>
      <c r="H134" s="11"/>
      <c r="I134" s="11"/>
      <c r="J134" s="11"/>
      <c r="K134" s="11"/>
      <c r="L134" s="11"/>
      <c r="M134" s="11"/>
      <c r="N134" s="11"/>
      <c r="O134" s="12"/>
      <c r="P134" s="11"/>
      <c r="Q134" s="11"/>
      <c r="R134" s="11"/>
      <c r="S134" s="11"/>
      <c r="T134" s="11"/>
      <c r="U134" s="12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3"/>
      <c r="BT134" s="14"/>
      <c r="BU134" s="11"/>
      <c r="BV134" s="11"/>
      <c r="BW134" s="11"/>
      <c r="BX134" s="11"/>
      <c r="BY134" s="11"/>
      <c r="BZ134" s="13"/>
    </row>
    <row r="135" spans="4:78" x14ac:dyDescent="0.2">
      <c r="D135" s="11"/>
      <c r="F135" s="11"/>
      <c r="G135" s="11"/>
      <c r="H135" s="11"/>
      <c r="I135" s="11"/>
      <c r="J135" s="11"/>
      <c r="K135" s="11"/>
      <c r="L135" s="11"/>
      <c r="M135" s="11"/>
      <c r="N135" s="11"/>
      <c r="O135" s="12"/>
      <c r="P135" s="11"/>
      <c r="Q135" s="11"/>
      <c r="R135" s="11"/>
      <c r="S135" s="11"/>
      <c r="T135" s="11"/>
      <c r="U135" s="12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3"/>
      <c r="BT135" s="14"/>
      <c r="BU135" s="11"/>
      <c r="BV135" s="11"/>
      <c r="BW135" s="11"/>
      <c r="BX135" s="11"/>
      <c r="BY135" s="11"/>
      <c r="BZ135" s="13"/>
    </row>
    <row r="136" spans="4:78" x14ac:dyDescent="0.2">
      <c r="D136" s="11"/>
      <c r="F136" s="11"/>
      <c r="G136" s="11"/>
      <c r="H136" s="11"/>
      <c r="I136" s="11"/>
      <c r="J136" s="11"/>
      <c r="K136" s="11"/>
      <c r="L136" s="11"/>
      <c r="M136" s="11"/>
      <c r="N136" s="11"/>
      <c r="O136" s="12"/>
      <c r="P136" s="11"/>
      <c r="Q136" s="11"/>
      <c r="R136" s="11"/>
      <c r="S136" s="11"/>
      <c r="T136" s="11"/>
      <c r="U136" s="12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3"/>
      <c r="BT136" s="14"/>
      <c r="BU136" s="11"/>
      <c r="BV136" s="11"/>
      <c r="BW136" s="11"/>
      <c r="BX136" s="11"/>
      <c r="BY136" s="11"/>
      <c r="BZ136" s="13"/>
    </row>
    <row r="137" spans="4:78" x14ac:dyDescent="0.2">
      <c r="D137" s="11"/>
      <c r="F137" s="11"/>
      <c r="G137" s="11"/>
      <c r="H137" s="11"/>
      <c r="I137" s="11"/>
      <c r="J137" s="11"/>
      <c r="K137" s="11"/>
      <c r="L137" s="11"/>
      <c r="M137" s="11"/>
      <c r="N137" s="11"/>
      <c r="O137" s="12"/>
      <c r="P137" s="11"/>
      <c r="Q137" s="11"/>
      <c r="R137" s="11"/>
      <c r="S137" s="11"/>
      <c r="T137" s="11"/>
      <c r="U137" s="12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3"/>
      <c r="BT137" s="14"/>
      <c r="BU137" s="11"/>
      <c r="BV137" s="11"/>
      <c r="BW137" s="11"/>
      <c r="BX137" s="11"/>
      <c r="BY137" s="11"/>
      <c r="BZ137" s="13"/>
    </row>
    <row r="138" spans="4:78" x14ac:dyDescent="0.2">
      <c r="D138" s="11"/>
      <c r="F138" s="11"/>
      <c r="G138" s="11"/>
      <c r="H138" s="11"/>
      <c r="I138" s="11"/>
      <c r="J138" s="11"/>
      <c r="K138" s="11"/>
      <c r="L138" s="11"/>
      <c r="M138" s="11"/>
      <c r="N138" s="11"/>
      <c r="O138" s="12"/>
      <c r="P138" s="11"/>
      <c r="Q138" s="11"/>
      <c r="R138" s="11"/>
      <c r="S138" s="11"/>
      <c r="T138" s="11"/>
      <c r="U138" s="12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3"/>
      <c r="BT138" s="14"/>
      <c r="BU138" s="11"/>
      <c r="BV138" s="11"/>
      <c r="BW138" s="11"/>
      <c r="BX138" s="11"/>
      <c r="BY138" s="11"/>
      <c r="BZ138" s="13"/>
    </row>
    <row r="139" spans="4:78" x14ac:dyDescent="0.2">
      <c r="D139" s="11"/>
      <c r="F139" s="11"/>
      <c r="G139" s="11"/>
      <c r="H139" s="11"/>
      <c r="I139" s="11"/>
      <c r="J139" s="11"/>
      <c r="K139" s="11"/>
      <c r="L139" s="11"/>
      <c r="M139" s="11"/>
      <c r="N139" s="11"/>
      <c r="O139" s="12"/>
      <c r="P139" s="11"/>
      <c r="Q139" s="11"/>
      <c r="R139" s="11"/>
      <c r="S139" s="11"/>
      <c r="T139" s="11"/>
      <c r="U139" s="12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3"/>
      <c r="BT139" s="14"/>
      <c r="BU139" s="11"/>
      <c r="BV139" s="11"/>
      <c r="BW139" s="11"/>
      <c r="BX139" s="11"/>
      <c r="BY139" s="11"/>
      <c r="BZ139" s="13"/>
    </row>
    <row r="140" spans="4:78" x14ac:dyDescent="0.2">
      <c r="D140" s="11"/>
      <c r="F140" s="11"/>
      <c r="G140" s="11"/>
      <c r="H140" s="11"/>
      <c r="I140" s="11"/>
      <c r="J140" s="11"/>
      <c r="K140" s="11"/>
      <c r="L140" s="11"/>
      <c r="M140" s="11"/>
      <c r="N140" s="11"/>
      <c r="O140" s="12"/>
      <c r="P140" s="11"/>
      <c r="Q140" s="11"/>
      <c r="R140" s="11"/>
      <c r="S140" s="11"/>
      <c r="T140" s="11"/>
      <c r="U140" s="12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3"/>
      <c r="BT140" s="14"/>
      <c r="BU140" s="11"/>
      <c r="BV140" s="11"/>
      <c r="BW140" s="11"/>
      <c r="BX140" s="11"/>
      <c r="BY140" s="11"/>
      <c r="BZ140" s="13"/>
    </row>
    <row r="141" spans="4:78" x14ac:dyDescent="0.2">
      <c r="D141" s="11"/>
      <c r="F141" s="11"/>
      <c r="G141" s="11"/>
      <c r="H141" s="11"/>
      <c r="I141" s="11"/>
      <c r="J141" s="11"/>
      <c r="K141" s="11"/>
      <c r="L141" s="11"/>
      <c r="M141" s="11"/>
      <c r="N141" s="11"/>
      <c r="O141" s="12"/>
      <c r="P141" s="11"/>
      <c r="Q141" s="11"/>
      <c r="R141" s="11"/>
      <c r="S141" s="11"/>
      <c r="T141" s="11"/>
      <c r="U141" s="12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3"/>
      <c r="BT141" s="14"/>
      <c r="BU141" s="11"/>
      <c r="BV141" s="11"/>
      <c r="BW141" s="11"/>
      <c r="BX141" s="11"/>
      <c r="BY141" s="11"/>
      <c r="BZ141" s="13"/>
    </row>
    <row r="142" spans="4:78" x14ac:dyDescent="0.2">
      <c r="D142" s="11"/>
      <c r="F142" s="11"/>
      <c r="G142" s="11"/>
      <c r="H142" s="11"/>
      <c r="I142" s="11"/>
      <c r="J142" s="11"/>
      <c r="K142" s="11"/>
      <c r="L142" s="11"/>
      <c r="M142" s="11"/>
      <c r="N142" s="11"/>
      <c r="O142" s="12"/>
      <c r="P142" s="11"/>
      <c r="Q142" s="11"/>
      <c r="R142" s="11"/>
      <c r="S142" s="11"/>
      <c r="T142" s="11"/>
      <c r="U142" s="12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3"/>
      <c r="BT142" s="14"/>
      <c r="BU142" s="11"/>
      <c r="BV142" s="11"/>
      <c r="BW142" s="11"/>
      <c r="BX142" s="11"/>
      <c r="BY142" s="11"/>
      <c r="BZ142" s="13"/>
    </row>
    <row r="143" spans="4:78" x14ac:dyDescent="0.2">
      <c r="D143" s="11"/>
      <c r="F143" s="11"/>
      <c r="G143" s="11"/>
      <c r="H143" s="11"/>
      <c r="I143" s="11"/>
      <c r="J143" s="11"/>
      <c r="K143" s="11"/>
      <c r="L143" s="11"/>
      <c r="M143" s="11"/>
      <c r="N143" s="11"/>
      <c r="O143" s="12"/>
      <c r="P143" s="11"/>
      <c r="Q143" s="11"/>
      <c r="R143" s="11"/>
      <c r="S143" s="11"/>
      <c r="T143" s="11"/>
      <c r="U143" s="12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3"/>
      <c r="BT143" s="14"/>
      <c r="BU143" s="11"/>
      <c r="BV143" s="11"/>
      <c r="BW143" s="11"/>
      <c r="BX143" s="11"/>
      <c r="BY143" s="11"/>
      <c r="BZ143" s="13"/>
    </row>
    <row r="144" spans="4:78" x14ac:dyDescent="0.2">
      <c r="D144" s="11"/>
      <c r="F144" s="11"/>
      <c r="G144" s="11"/>
      <c r="H144" s="11"/>
      <c r="I144" s="11"/>
      <c r="J144" s="11"/>
      <c r="K144" s="11"/>
      <c r="L144" s="11"/>
      <c r="M144" s="11"/>
      <c r="N144" s="11"/>
      <c r="O144" s="12"/>
      <c r="P144" s="11"/>
      <c r="Q144" s="11"/>
      <c r="R144" s="11"/>
      <c r="S144" s="11"/>
      <c r="T144" s="11"/>
      <c r="U144" s="12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3"/>
      <c r="BT144" s="14"/>
      <c r="BU144" s="11"/>
      <c r="BV144" s="11"/>
      <c r="BW144" s="11"/>
      <c r="BX144" s="11"/>
      <c r="BY144" s="11"/>
      <c r="BZ144" s="13"/>
    </row>
    <row r="145" spans="4:78" x14ac:dyDescent="0.2">
      <c r="D145" s="11"/>
      <c r="F145" s="11"/>
      <c r="G145" s="11"/>
      <c r="H145" s="11"/>
      <c r="I145" s="11"/>
      <c r="J145" s="11"/>
      <c r="K145" s="11"/>
      <c r="L145" s="11"/>
      <c r="M145" s="11"/>
      <c r="N145" s="11"/>
      <c r="O145" s="12"/>
      <c r="P145" s="11"/>
      <c r="Q145" s="11"/>
      <c r="R145" s="11"/>
      <c r="S145" s="11"/>
      <c r="T145" s="11"/>
      <c r="U145" s="12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3"/>
      <c r="BT145" s="14"/>
      <c r="BU145" s="11"/>
      <c r="BV145" s="11"/>
      <c r="BW145" s="11"/>
      <c r="BX145" s="11"/>
      <c r="BY145" s="11"/>
      <c r="BZ145" s="13"/>
    </row>
    <row r="146" spans="4:78" x14ac:dyDescent="0.2">
      <c r="D146" s="11"/>
      <c r="F146" s="11"/>
      <c r="G146" s="11"/>
      <c r="H146" s="11"/>
      <c r="I146" s="11"/>
      <c r="J146" s="11"/>
      <c r="K146" s="11"/>
      <c r="L146" s="11"/>
      <c r="M146" s="11"/>
      <c r="N146" s="11"/>
      <c r="O146" s="12"/>
      <c r="P146" s="11"/>
      <c r="Q146" s="11"/>
      <c r="R146" s="11"/>
      <c r="S146" s="11"/>
      <c r="T146" s="11"/>
      <c r="U146" s="12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3"/>
      <c r="BT146" s="14"/>
      <c r="BU146" s="11"/>
      <c r="BV146" s="11"/>
      <c r="BW146" s="11"/>
      <c r="BX146" s="11"/>
      <c r="BY146" s="11"/>
      <c r="BZ146" s="13"/>
    </row>
    <row r="147" spans="4:78" x14ac:dyDescent="0.2">
      <c r="D147" s="11"/>
      <c r="F147" s="11"/>
      <c r="G147" s="11"/>
      <c r="H147" s="11"/>
      <c r="I147" s="11"/>
      <c r="J147" s="11"/>
      <c r="K147" s="11"/>
      <c r="L147" s="11"/>
      <c r="M147" s="11"/>
      <c r="N147" s="11"/>
      <c r="O147" s="12"/>
      <c r="P147" s="11"/>
      <c r="Q147" s="11"/>
      <c r="R147" s="11"/>
      <c r="S147" s="11"/>
      <c r="T147" s="11"/>
      <c r="U147" s="12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3"/>
      <c r="BT147" s="14"/>
      <c r="BU147" s="11"/>
      <c r="BV147" s="11"/>
      <c r="BW147" s="11"/>
      <c r="BX147" s="11"/>
      <c r="BY147" s="11"/>
      <c r="BZ147" s="13"/>
    </row>
    <row r="148" spans="4:78" x14ac:dyDescent="0.2">
      <c r="D148" s="11"/>
      <c r="F148" s="11"/>
      <c r="G148" s="11"/>
      <c r="H148" s="11"/>
      <c r="I148" s="11"/>
      <c r="J148" s="11"/>
      <c r="K148" s="11"/>
      <c r="L148" s="11"/>
      <c r="M148" s="11"/>
      <c r="N148" s="11"/>
      <c r="O148" s="12"/>
      <c r="P148" s="11"/>
      <c r="Q148" s="11"/>
      <c r="R148" s="11"/>
      <c r="S148" s="11"/>
      <c r="T148" s="11"/>
      <c r="U148" s="12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3"/>
      <c r="BT148" s="14"/>
      <c r="BU148" s="11"/>
      <c r="BV148" s="11"/>
      <c r="BW148" s="11"/>
      <c r="BX148" s="11"/>
      <c r="BY148" s="11"/>
      <c r="BZ148" s="13"/>
    </row>
    <row r="149" spans="4:78" x14ac:dyDescent="0.2">
      <c r="D149" s="11"/>
      <c r="F149" s="11"/>
      <c r="G149" s="11"/>
      <c r="H149" s="11"/>
      <c r="I149" s="11"/>
      <c r="J149" s="11"/>
      <c r="K149" s="11"/>
      <c r="L149" s="11"/>
      <c r="M149" s="11"/>
      <c r="N149" s="11"/>
      <c r="O149" s="12"/>
      <c r="P149" s="11"/>
      <c r="Q149" s="11"/>
      <c r="R149" s="11"/>
      <c r="S149" s="11"/>
      <c r="T149" s="11"/>
      <c r="U149" s="12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3"/>
      <c r="BT149" s="14"/>
      <c r="BU149" s="11"/>
      <c r="BV149" s="11"/>
      <c r="BW149" s="11"/>
      <c r="BX149" s="11"/>
      <c r="BY149" s="11"/>
      <c r="BZ149" s="13"/>
    </row>
    <row r="150" spans="4:78" x14ac:dyDescent="0.2">
      <c r="D150" s="11"/>
      <c r="F150" s="11"/>
      <c r="G150" s="11"/>
      <c r="H150" s="11"/>
      <c r="I150" s="11"/>
      <c r="J150" s="11"/>
      <c r="K150" s="11"/>
      <c r="L150" s="11"/>
      <c r="M150" s="11"/>
      <c r="N150" s="11"/>
      <c r="O150" s="12"/>
      <c r="P150" s="11"/>
      <c r="Q150" s="11"/>
      <c r="R150" s="11"/>
      <c r="S150" s="11"/>
      <c r="T150" s="11"/>
      <c r="U150" s="12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3"/>
      <c r="BT150" s="14"/>
      <c r="BU150" s="11"/>
      <c r="BV150" s="11"/>
      <c r="BW150" s="11"/>
      <c r="BX150" s="11"/>
      <c r="BY150" s="11"/>
      <c r="BZ150" s="13"/>
    </row>
    <row r="151" spans="4:78" x14ac:dyDescent="0.2">
      <c r="D151" s="11"/>
      <c r="F151" s="11"/>
      <c r="G151" s="11"/>
      <c r="H151" s="11"/>
      <c r="I151" s="11"/>
      <c r="J151" s="11"/>
      <c r="K151" s="11"/>
      <c r="L151" s="11"/>
      <c r="M151" s="11"/>
      <c r="N151" s="11"/>
      <c r="O151" s="12"/>
      <c r="P151" s="11"/>
      <c r="Q151" s="11"/>
      <c r="R151" s="11"/>
      <c r="S151" s="11"/>
      <c r="T151" s="11"/>
      <c r="U151" s="12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3"/>
      <c r="BT151" s="14"/>
      <c r="BU151" s="11"/>
      <c r="BV151" s="11"/>
      <c r="BW151" s="11"/>
      <c r="BX151" s="11"/>
      <c r="BY151" s="11"/>
      <c r="BZ151" s="13"/>
    </row>
    <row r="152" spans="4:78" x14ac:dyDescent="0.2">
      <c r="D152" s="11"/>
      <c r="F152" s="11"/>
      <c r="G152" s="11"/>
      <c r="H152" s="11"/>
      <c r="I152" s="11"/>
      <c r="J152" s="11"/>
      <c r="K152" s="11"/>
      <c r="L152" s="11"/>
      <c r="M152" s="11"/>
      <c r="N152" s="11"/>
      <c r="O152" s="12"/>
      <c r="P152" s="11"/>
      <c r="Q152" s="11"/>
      <c r="R152" s="11"/>
      <c r="S152" s="11"/>
      <c r="T152" s="11"/>
      <c r="U152" s="12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3"/>
      <c r="BT152" s="14"/>
      <c r="BU152" s="11"/>
      <c r="BV152" s="11"/>
      <c r="BW152" s="11"/>
      <c r="BX152" s="11"/>
      <c r="BY152" s="11"/>
      <c r="BZ152" s="13"/>
    </row>
    <row r="153" spans="4:78" x14ac:dyDescent="0.2">
      <c r="D153" s="11"/>
      <c r="F153" s="11"/>
      <c r="G153" s="11"/>
      <c r="H153" s="11"/>
      <c r="I153" s="11"/>
      <c r="J153" s="11"/>
      <c r="K153" s="11"/>
      <c r="L153" s="11"/>
      <c r="M153" s="11"/>
      <c r="N153" s="11"/>
      <c r="O153" s="12"/>
      <c r="P153" s="11"/>
      <c r="Q153" s="11"/>
      <c r="R153" s="11"/>
      <c r="S153" s="11"/>
      <c r="T153" s="11"/>
      <c r="U153" s="12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3"/>
      <c r="BT153" s="14"/>
      <c r="BU153" s="11"/>
      <c r="BV153" s="11"/>
      <c r="BW153" s="11"/>
      <c r="BX153" s="11"/>
      <c r="BY153" s="11"/>
      <c r="BZ153" s="13"/>
    </row>
    <row r="154" spans="4:78" x14ac:dyDescent="0.2">
      <c r="D154" s="11"/>
      <c r="F154" s="11"/>
      <c r="G154" s="11"/>
      <c r="H154" s="11"/>
      <c r="I154" s="11"/>
      <c r="J154" s="11"/>
      <c r="K154" s="11"/>
      <c r="L154" s="11"/>
      <c r="M154" s="11"/>
      <c r="N154" s="11"/>
      <c r="O154" s="12"/>
      <c r="P154" s="11"/>
      <c r="Q154" s="11"/>
      <c r="R154" s="11"/>
      <c r="S154" s="11"/>
      <c r="T154" s="11"/>
      <c r="U154" s="12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3"/>
      <c r="BT154" s="14"/>
      <c r="BU154" s="11"/>
      <c r="BV154" s="11"/>
      <c r="BW154" s="11"/>
      <c r="BX154" s="11"/>
      <c r="BY154" s="11"/>
      <c r="BZ154" s="13"/>
    </row>
    <row r="155" spans="4:78" x14ac:dyDescent="0.2">
      <c r="D155" s="11"/>
      <c r="F155" s="11"/>
      <c r="G155" s="11"/>
      <c r="H155" s="11"/>
      <c r="I155" s="11"/>
      <c r="J155" s="11"/>
      <c r="K155" s="11"/>
      <c r="L155" s="11"/>
      <c r="M155" s="11"/>
      <c r="N155" s="11"/>
      <c r="O155" s="12"/>
      <c r="P155" s="11"/>
      <c r="Q155" s="11"/>
      <c r="R155" s="11"/>
      <c r="S155" s="11"/>
      <c r="T155" s="11"/>
      <c r="U155" s="12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3"/>
      <c r="BT155" s="14"/>
      <c r="BU155" s="11"/>
      <c r="BV155" s="11"/>
      <c r="BW155" s="11"/>
      <c r="BX155" s="11"/>
      <c r="BY155" s="11"/>
      <c r="BZ155" s="13"/>
    </row>
    <row r="156" spans="4:78" x14ac:dyDescent="0.2">
      <c r="D156" s="11"/>
      <c r="F156" s="11"/>
      <c r="G156" s="11"/>
      <c r="H156" s="11"/>
      <c r="I156" s="11"/>
      <c r="J156" s="11"/>
      <c r="K156" s="11"/>
      <c r="L156" s="11"/>
      <c r="M156" s="11"/>
      <c r="N156" s="11"/>
      <c r="O156" s="12"/>
      <c r="P156" s="11"/>
      <c r="Q156" s="11"/>
      <c r="R156" s="11"/>
      <c r="S156" s="11"/>
      <c r="T156" s="11"/>
      <c r="U156" s="12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3"/>
      <c r="BT156" s="14"/>
      <c r="BU156" s="11"/>
      <c r="BV156" s="11"/>
      <c r="BW156" s="11"/>
      <c r="BX156" s="11"/>
      <c r="BY156" s="11"/>
      <c r="BZ156" s="13"/>
    </row>
    <row r="157" spans="4:78" x14ac:dyDescent="0.2">
      <c r="D157" s="11"/>
      <c r="F157" s="11"/>
      <c r="G157" s="11"/>
      <c r="H157" s="11"/>
      <c r="I157" s="11"/>
      <c r="J157" s="11"/>
      <c r="K157" s="11"/>
      <c r="L157" s="11"/>
      <c r="M157" s="11"/>
      <c r="N157" s="11"/>
      <c r="O157" s="12"/>
      <c r="P157" s="11"/>
      <c r="Q157" s="11"/>
      <c r="R157" s="11"/>
      <c r="S157" s="11"/>
      <c r="T157" s="11"/>
      <c r="U157" s="12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3"/>
      <c r="BT157" s="14"/>
      <c r="BU157" s="11"/>
      <c r="BV157" s="11"/>
      <c r="BW157" s="11"/>
      <c r="BX157" s="11"/>
      <c r="BY157" s="11"/>
      <c r="BZ157" s="13"/>
    </row>
    <row r="158" spans="4:78" x14ac:dyDescent="0.2">
      <c r="D158" s="11"/>
      <c r="F158" s="11"/>
      <c r="G158" s="11"/>
      <c r="H158" s="11"/>
      <c r="I158" s="11"/>
      <c r="J158" s="11"/>
      <c r="K158" s="11"/>
      <c r="L158" s="11"/>
      <c r="M158" s="11"/>
      <c r="N158" s="11"/>
      <c r="O158" s="12"/>
      <c r="P158" s="11"/>
      <c r="Q158" s="11"/>
      <c r="R158" s="11"/>
      <c r="S158" s="11"/>
      <c r="T158" s="11"/>
      <c r="U158" s="12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3"/>
      <c r="BT158" s="14"/>
      <c r="BU158" s="11"/>
      <c r="BV158" s="11"/>
      <c r="BW158" s="11"/>
      <c r="BX158" s="11"/>
      <c r="BY158" s="11"/>
      <c r="BZ158" s="13"/>
    </row>
    <row r="159" spans="4:78" x14ac:dyDescent="0.2">
      <c r="D159" s="11"/>
      <c r="F159" s="11"/>
      <c r="G159" s="11"/>
      <c r="H159" s="11"/>
      <c r="I159" s="11"/>
      <c r="J159" s="11"/>
      <c r="K159" s="11"/>
      <c r="L159" s="11"/>
      <c r="M159" s="11"/>
      <c r="N159" s="11"/>
      <c r="O159" s="12"/>
      <c r="P159" s="11"/>
      <c r="Q159" s="11"/>
      <c r="R159" s="11"/>
      <c r="S159" s="11"/>
      <c r="T159" s="11"/>
      <c r="U159" s="12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3"/>
      <c r="BT159" s="14"/>
      <c r="BU159" s="11"/>
      <c r="BV159" s="11"/>
      <c r="BW159" s="11"/>
      <c r="BX159" s="11"/>
      <c r="BY159" s="11"/>
      <c r="BZ159" s="13"/>
    </row>
    <row r="160" spans="4:78" x14ac:dyDescent="0.2">
      <c r="D160" s="11"/>
      <c r="F160" s="11"/>
      <c r="G160" s="11"/>
      <c r="H160" s="11"/>
      <c r="I160" s="11"/>
      <c r="J160" s="11"/>
      <c r="K160" s="11"/>
      <c r="L160" s="11"/>
      <c r="M160" s="11"/>
      <c r="N160" s="11"/>
      <c r="O160" s="12"/>
      <c r="P160" s="11"/>
      <c r="Q160" s="11"/>
      <c r="R160" s="11"/>
      <c r="S160" s="11"/>
      <c r="T160" s="11"/>
      <c r="U160" s="12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3"/>
      <c r="BT160" s="14"/>
      <c r="BU160" s="11"/>
      <c r="BV160" s="11"/>
      <c r="BW160" s="11"/>
      <c r="BX160" s="11"/>
      <c r="BY160" s="11"/>
      <c r="BZ160" s="13"/>
    </row>
    <row r="161" spans="4:78" x14ac:dyDescent="0.2">
      <c r="D161" s="11"/>
      <c r="F161" s="11"/>
      <c r="G161" s="11"/>
      <c r="H161" s="11"/>
      <c r="I161" s="11"/>
      <c r="J161" s="11"/>
      <c r="K161" s="11"/>
      <c r="L161" s="11"/>
      <c r="M161" s="11"/>
      <c r="N161" s="11"/>
      <c r="O161" s="12"/>
      <c r="P161" s="11"/>
      <c r="Q161" s="11"/>
      <c r="R161" s="11"/>
      <c r="S161" s="11"/>
      <c r="T161" s="11"/>
      <c r="U161" s="12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3"/>
      <c r="BT161" s="14"/>
      <c r="BU161" s="11"/>
      <c r="BV161" s="11"/>
      <c r="BW161" s="11"/>
      <c r="BX161" s="11"/>
      <c r="BY161" s="11"/>
      <c r="BZ161" s="13"/>
    </row>
    <row r="162" spans="4:78" x14ac:dyDescent="0.2">
      <c r="D162" s="11"/>
      <c r="F162" s="11"/>
      <c r="G162" s="11"/>
      <c r="H162" s="11"/>
      <c r="I162" s="11"/>
      <c r="J162" s="11"/>
      <c r="K162" s="11"/>
      <c r="L162" s="11"/>
      <c r="M162" s="11"/>
      <c r="N162" s="11"/>
      <c r="O162" s="12"/>
      <c r="P162" s="11"/>
      <c r="Q162" s="11"/>
      <c r="R162" s="11"/>
      <c r="S162" s="11"/>
      <c r="T162" s="11"/>
      <c r="U162" s="12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3"/>
      <c r="BT162" s="14"/>
      <c r="BU162" s="11"/>
      <c r="BV162" s="11"/>
      <c r="BW162" s="11"/>
      <c r="BX162" s="11"/>
      <c r="BY162" s="11"/>
      <c r="BZ162" s="13"/>
    </row>
    <row r="163" spans="4:78" x14ac:dyDescent="0.2">
      <c r="D163" s="11"/>
      <c r="F163" s="11"/>
      <c r="G163" s="11"/>
      <c r="H163" s="11"/>
      <c r="I163" s="11"/>
      <c r="J163" s="11"/>
      <c r="K163" s="11"/>
      <c r="L163" s="11"/>
      <c r="M163" s="11"/>
      <c r="N163" s="11"/>
      <c r="O163" s="12"/>
      <c r="P163" s="11"/>
      <c r="Q163" s="11"/>
      <c r="R163" s="11"/>
      <c r="S163" s="11"/>
      <c r="T163" s="11"/>
      <c r="U163" s="12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3"/>
      <c r="BT163" s="14"/>
      <c r="BU163" s="11"/>
      <c r="BV163" s="11"/>
      <c r="BW163" s="11"/>
      <c r="BX163" s="11"/>
      <c r="BY163" s="11"/>
      <c r="BZ163" s="13"/>
    </row>
    <row r="164" spans="4:78" x14ac:dyDescent="0.2">
      <c r="D164" s="11"/>
      <c r="F164" s="11"/>
      <c r="G164" s="11"/>
      <c r="H164" s="11"/>
      <c r="I164" s="11"/>
      <c r="J164" s="11"/>
      <c r="K164" s="11"/>
      <c r="L164" s="11"/>
      <c r="M164" s="11"/>
      <c r="N164" s="11"/>
      <c r="O164" s="12"/>
      <c r="P164" s="11"/>
      <c r="Q164" s="11"/>
      <c r="R164" s="11"/>
      <c r="S164" s="11"/>
      <c r="T164" s="11"/>
      <c r="U164" s="12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3"/>
      <c r="BT164" s="14"/>
      <c r="BU164" s="11"/>
      <c r="BV164" s="11"/>
      <c r="BW164" s="11"/>
      <c r="BX164" s="11"/>
      <c r="BY164" s="11"/>
      <c r="BZ164" s="13"/>
    </row>
    <row r="165" spans="4:78" x14ac:dyDescent="0.2">
      <c r="D165" s="11"/>
      <c r="F165" s="11"/>
      <c r="G165" s="11"/>
      <c r="H165" s="11"/>
      <c r="I165" s="11"/>
      <c r="J165" s="11"/>
      <c r="K165" s="11"/>
      <c r="L165" s="11"/>
      <c r="M165" s="11"/>
      <c r="N165" s="11"/>
      <c r="O165" s="12"/>
      <c r="P165" s="11"/>
      <c r="Q165" s="11"/>
      <c r="R165" s="11"/>
      <c r="S165" s="11"/>
      <c r="T165" s="11"/>
      <c r="U165" s="12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3"/>
      <c r="BT165" s="14"/>
      <c r="BU165" s="11"/>
      <c r="BV165" s="11"/>
      <c r="BW165" s="11"/>
      <c r="BX165" s="11"/>
      <c r="BY165" s="11"/>
      <c r="BZ165" s="13"/>
    </row>
    <row r="166" spans="4:78" x14ac:dyDescent="0.2">
      <c r="D166" s="11"/>
      <c r="F166" s="11"/>
      <c r="G166" s="11"/>
      <c r="H166" s="11"/>
      <c r="I166" s="11"/>
      <c r="J166" s="11"/>
      <c r="K166" s="11"/>
      <c r="L166" s="11"/>
      <c r="M166" s="11"/>
      <c r="N166" s="11"/>
      <c r="O166" s="12"/>
      <c r="P166" s="11"/>
      <c r="Q166" s="11"/>
      <c r="R166" s="11"/>
      <c r="S166" s="11"/>
      <c r="T166" s="11"/>
      <c r="U166" s="12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3"/>
      <c r="BT166" s="14"/>
      <c r="BU166" s="11"/>
      <c r="BV166" s="11"/>
      <c r="BW166" s="11"/>
      <c r="BX166" s="11"/>
      <c r="BY166" s="11"/>
      <c r="BZ166" s="13"/>
    </row>
    <row r="167" spans="4:78" x14ac:dyDescent="0.2">
      <c r="D167" s="11"/>
      <c r="F167" s="11"/>
      <c r="G167" s="11"/>
      <c r="H167" s="11"/>
      <c r="I167" s="11"/>
      <c r="J167" s="11"/>
      <c r="K167" s="11"/>
      <c r="L167" s="11"/>
      <c r="M167" s="11"/>
      <c r="N167" s="11"/>
      <c r="O167" s="12"/>
      <c r="P167" s="11"/>
      <c r="Q167" s="11"/>
      <c r="R167" s="11"/>
      <c r="S167" s="11"/>
      <c r="T167" s="11"/>
      <c r="U167" s="12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3"/>
      <c r="BT167" s="14"/>
      <c r="BU167" s="11"/>
      <c r="BV167" s="11"/>
      <c r="BW167" s="11"/>
      <c r="BX167" s="11"/>
      <c r="BY167" s="11"/>
      <c r="BZ167" s="13"/>
    </row>
    <row r="168" spans="4:78" x14ac:dyDescent="0.2">
      <c r="D168" s="11"/>
      <c r="F168" s="11"/>
      <c r="G168" s="11"/>
      <c r="H168" s="11"/>
      <c r="I168" s="11"/>
      <c r="J168" s="11"/>
      <c r="K168" s="11"/>
      <c r="L168" s="11"/>
      <c r="M168" s="11"/>
      <c r="N168" s="11"/>
      <c r="O168" s="12"/>
      <c r="P168" s="11"/>
      <c r="Q168" s="11"/>
      <c r="R168" s="11"/>
      <c r="S168" s="11"/>
      <c r="T168" s="11"/>
      <c r="U168" s="12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3"/>
      <c r="BT168" s="14"/>
      <c r="BU168" s="11"/>
      <c r="BV168" s="11"/>
      <c r="BW168" s="11"/>
      <c r="BX168" s="11"/>
      <c r="BY168" s="11"/>
      <c r="BZ168" s="13"/>
    </row>
    <row r="169" spans="4:78" x14ac:dyDescent="0.2">
      <c r="D169" s="11"/>
      <c r="F169" s="11"/>
      <c r="G169" s="11"/>
      <c r="H169" s="11"/>
      <c r="I169" s="11"/>
      <c r="J169" s="11"/>
      <c r="K169" s="11"/>
      <c r="L169" s="11"/>
      <c r="M169" s="11"/>
      <c r="N169" s="11"/>
      <c r="O169" s="12"/>
      <c r="P169" s="11"/>
      <c r="Q169" s="11"/>
      <c r="R169" s="11"/>
      <c r="S169" s="11"/>
      <c r="T169" s="11"/>
      <c r="U169" s="12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3"/>
      <c r="BT169" s="14"/>
      <c r="BU169" s="11"/>
      <c r="BV169" s="11"/>
      <c r="BW169" s="11"/>
      <c r="BX169" s="11"/>
      <c r="BY169" s="11"/>
      <c r="BZ169" s="13"/>
    </row>
    <row r="170" spans="4:78" x14ac:dyDescent="0.2">
      <c r="D170" s="11"/>
      <c r="F170" s="11"/>
      <c r="G170" s="11"/>
      <c r="H170" s="11"/>
      <c r="I170" s="11"/>
      <c r="J170" s="11"/>
      <c r="K170" s="11"/>
      <c r="L170" s="11"/>
      <c r="M170" s="11"/>
      <c r="N170" s="11"/>
      <c r="O170" s="12"/>
      <c r="P170" s="11"/>
      <c r="Q170" s="11"/>
      <c r="R170" s="11"/>
      <c r="S170" s="11"/>
      <c r="T170" s="11"/>
      <c r="U170" s="12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3"/>
      <c r="BT170" s="14"/>
      <c r="BU170" s="11"/>
      <c r="BV170" s="11"/>
      <c r="BW170" s="11"/>
      <c r="BX170" s="11"/>
      <c r="BY170" s="11"/>
      <c r="BZ170" s="13"/>
    </row>
    <row r="171" spans="4:78" x14ac:dyDescent="0.2">
      <c r="D171" s="11"/>
      <c r="F171" s="11"/>
      <c r="G171" s="11"/>
      <c r="H171" s="11"/>
      <c r="I171" s="11"/>
      <c r="J171" s="11"/>
      <c r="K171" s="11"/>
      <c r="L171" s="11"/>
      <c r="M171" s="11"/>
      <c r="N171" s="11"/>
      <c r="O171" s="12"/>
      <c r="P171" s="11"/>
      <c r="Q171" s="11"/>
      <c r="R171" s="11"/>
      <c r="S171" s="11"/>
      <c r="T171" s="11"/>
      <c r="U171" s="12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3"/>
      <c r="BT171" s="14"/>
      <c r="BU171" s="11"/>
      <c r="BV171" s="11"/>
      <c r="BW171" s="11"/>
      <c r="BX171" s="11"/>
      <c r="BY171" s="11"/>
      <c r="BZ171" s="13"/>
    </row>
    <row r="172" spans="4:78" x14ac:dyDescent="0.2">
      <c r="D172" s="11"/>
      <c r="F172" s="11"/>
      <c r="G172" s="11"/>
      <c r="H172" s="11"/>
      <c r="I172" s="11"/>
      <c r="J172" s="11"/>
      <c r="K172" s="11"/>
      <c r="L172" s="11"/>
      <c r="M172" s="11"/>
      <c r="N172" s="11"/>
      <c r="O172" s="12"/>
      <c r="P172" s="11"/>
      <c r="Q172" s="11"/>
      <c r="R172" s="11"/>
      <c r="S172" s="11"/>
      <c r="T172" s="11"/>
      <c r="U172" s="12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3"/>
      <c r="BT172" s="14"/>
      <c r="BU172" s="11"/>
      <c r="BV172" s="11"/>
      <c r="BW172" s="11"/>
      <c r="BX172" s="11"/>
      <c r="BY172" s="11"/>
      <c r="BZ172" s="13"/>
    </row>
    <row r="173" spans="4:78" x14ac:dyDescent="0.2">
      <c r="D173" s="11"/>
      <c r="F173" s="11"/>
      <c r="G173" s="11"/>
      <c r="H173" s="11"/>
      <c r="I173" s="11"/>
      <c r="J173" s="11"/>
      <c r="K173" s="11"/>
      <c r="L173" s="11"/>
      <c r="M173" s="11"/>
      <c r="N173" s="11"/>
      <c r="O173" s="12"/>
      <c r="P173" s="11"/>
      <c r="Q173" s="11"/>
      <c r="R173" s="11"/>
      <c r="S173" s="11"/>
      <c r="T173" s="11"/>
      <c r="U173" s="12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3"/>
      <c r="BT173" s="14"/>
      <c r="BU173" s="11"/>
      <c r="BV173" s="11"/>
      <c r="BW173" s="11"/>
      <c r="BX173" s="11"/>
      <c r="BY173" s="11"/>
      <c r="BZ173" s="13"/>
    </row>
    <row r="174" spans="4:78" x14ac:dyDescent="0.2">
      <c r="D174" s="11"/>
      <c r="F174" s="11"/>
      <c r="G174" s="11"/>
      <c r="H174" s="11"/>
      <c r="I174" s="11"/>
      <c r="J174" s="11"/>
      <c r="K174" s="11"/>
      <c r="L174" s="11"/>
      <c r="M174" s="11"/>
      <c r="N174" s="11"/>
      <c r="O174" s="12"/>
      <c r="P174" s="11"/>
      <c r="Q174" s="11"/>
      <c r="R174" s="11"/>
      <c r="S174" s="11"/>
      <c r="T174" s="11"/>
      <c r="U174" s="12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3"/>
      <c r="BT174" s="14"/>
      <c r="BU174" s="11"/>
      <c r="BV174" s="11"/>
      <c r="BW174" s="11"/>
      <c r="BX174" s="11"/>
      <c r="BY174" s="11"/>
      <c r="BZ174" s="13"/>
    </row>
    <row r="175" spans="4:78" x14ac:dyDescent="0.2">
      <c r="D175" s="11"/>
      <c r="F175" s="11"/>
      <c r="G175" s="11"/>
      <c r="H175" s="11"/>
      <c r="I175" s="11"/>
      <c r="J175" s="11"/>
      <c r="K175" s="11"/>
      <c r="L175" s="11"/>
      <c r="M175" s="11"/>
      <c r="N175" s="11"/>
      <c r="O175" s="12"/>
      <c r="P175" s="11"/>
      <c r="Q175" s="11"/>
      <c r="R175" s="11"/>
      <c r="S175" s="11"/>
      <c r="T175" s="11"/>
      <c r="U175" s="12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3"/>
      <c r="BT175" s="14"/>
      <c r="BU175" s="11"/>
      <c r="BV175" s="11"/>
      <c r="BW175" s="11"/>
      <c r="BX175" s="11"/>
      <c r="BY175" s="11"/>
      <c r="BZ175" s="13"/>
    </row>
    <row r="176" spans="4:78" x14ac:dyDescent="0.2">
      <c r="D176" s="11"/>
      <c r="F176" s="11"/>
      <c r="G176" s="11"/>
      <c r="H176" s="11"/>
      <c r="I176" s="11"/>
      <c r="J176" s="11"/>
      <c r="K176" s="11"/>
      <c r="L176" s="11"/>
      <c r="M176" s="11"/>
      <c r="N176" s="11"/>
      <c r="O176" s="12"/>
      <c r="P176" s="11"/>
      <c r="Q176" s="11"/>
      <c r="R176" s="11"/>
      <c r="S176" s="11"/>
      <c r="T176" s="11"/>
      <c r="U176" s="12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3"/>
      <c r="BT176" s="14"/>
      <c r="BU176" s="11"/>
      <c r="BV176" s="11"/>
      <c r="BW176" s="11"/>
      <c r="BX176" s="11"/>
      <c r="BY176" s="11"/>
      <c r="BZ176" s="13"/>
    </row>
    <row r="177" spans="4:78" x14ac:dyDescent="0.2">
      <c r="D177" s="11"/>
      <c r="F177" s="11"/>
      <c r="G177" s="11"/>
      <c r="H177" s="11"/>
      <c r="I177" s="11"/>
      <c r="J177" s="11"/>
      <c r="K177" s="11"/>
      <c r="L177" s="11"/>
      <c r="M177" s="11"/>
      <c r="N177" s="11"/>
      <c r="O177" s="12"/>
      <c r="P177" s="11"/>
      <c r="Q177" s="11"/>
      <c r="R177" s="11"/>
      <c r="S177" s="11"/>
      <c r="T177" s="11"/>
      <c r="U177" s="12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3"/>
      <c r="BT177" s="14"/>
      <c r="BU177" s="11"/>
      <c r="BV177" s="11"/>
      <c r="BW177" s="11"/>
      <c r="BX177" s="11"/>
      <c r="BY177" s="11"/>
      <c r="BZ177" s="13"/>
    </row>
    <row r="178" spans="4:78" x14ac:dyDescent="0.2">
      <c r="D178" s="11"/>
      <c r="F178" s="11"/>
      <c r="G178" s="11"/>
      <c r="H178" s="11"/>
      <c r="I178" s="11"/>
      <c r="J178" s="11"/>
      <c r="K178" s="11"/>
      <c r="L178" s="11"/>
      <c r="M178" s="11"/>
      <c r="N178" s="11"/>
      <c r="O178" s="12"/>
      <c r="P178" s="11"/>
      <c r="Q178" s="11"/>
      <c r="R178" s="11"/>
      <c r="S178" s="11"/>
      <c r="T178" s="11"/>
      <c r="U178" s="12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3"/>
      <c r="BT178" s="14"/>
      <c r="BU178" s="11"/>
      <c r="BV178" s="11"/>
      <c r="BW178" s="11"/>
      <c r="BX178" s="11"/>
      <c r="BY178" s="11"/>
      <c r="BZ178" s="13"/>
    </row>
    <row r="179" spans="4:78" x14ac:dyDescent="0.2">
      <c r="D179" s="11"/>
      <c r="F179" s="11"/>
      <c r="G179" s="11"/>
      <c r="H179" s="11"/>
      <c r="I179" s="11"/>
      <c r="J179" s="11"/>
      <c r="K179" s="11"/>
      <c r="L179" s="11"/>
      <c r="M179" s="11"/>
      <c r="N179" s="11"/>
      <c r="O179" s="12"/>
      <c r="P179" s="11"/>
      <c r="Q179" s="11"/>
      <c r="R179" s="11"/>
      <c r="S179" s="11"/>
      <c r="T179" s="11"/>
      <c r="U179" s="12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3"/>
      <c r="BT179" s="14"/>
      <c r="BU179" s="11"/>
      <c r="BV179" s="11"/>
      <c r="BW179" s="11"/>
      <c r="BX179" s="11"/>
      <c r="BY179" s="11"/>
      <c r="BZ179" s="13"/>
    </row>
    <row r="180" spans="4:78" x14ac:dyDescent="0.2">
      <c r="D180" s="11"/>
      <c r="F180" s="11"/>
      <c r="G180" s="11"/>
      <c r="H180" s="11"/>
      <c r="I180" s="11"/>
      <c r="J180" s="11"/>
      <c r="K180" s="11"/>
      <c r="L180" s="11"/>
      <c r="M180" s="11"/>
      <c r="N180" s="11"/>
      <c r="O180" s="12"/>
      <c r="P180" s="11"/>
      <c r="Q180" s="11"/>
      <c r="R180" s="11"/>
      <c r="S180" s="11"/>
      <c r="T180" s="11"/>
      <c r="U180" s="12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3"/>
      <c r="BT180" s="14"/>
      <c r="BU180" s="11"/>
      <c r="BV180" s="11"/>
      <c r="BW180" s="11"/>
      <c r="BX180" s="11"/>
      <c r="BY180" s="11"/>
      <c r="BZ180" s="13"/>
    </row>
    <row r="181" spans="4:78" x14ac:dyDescent="0.2">
      <c r="D181" s="11"/>
      <c r="F181" s="11"/>
      <c r="G181" s="11"/>
      <c r="H181" s="11"/>
      <c r="I181" s="11"/>
      <c r="J181" s="11"/>
      <c r="K181" s="11"/>
      <c r="L181" s="11"/>
      <c r="M181" s="11"/>
      <c r="N181" s="11"/>
      <c r="O181" s="12"/>
      <c r="P181" s="11"/>
      <c r="Q181" s="11"/>
      <c r="R181" s="11"/>
      <c r="S181" s="11"/>
      <c r="T181" s="11"/>
      <c r="U181" s="12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3"/>
      <c r="BT181" s="14"/>
      <c r="BU181" s="11"/>
      <c r="BV181" s="11"/>
      <c r="BW181" s="11"/>
      <c r="BX181" s="11"/>
      <c r="BY181" s="11"/>
      <c r="BZ181" s="13"/>
    </row>
    <row r="182" spans="4:78" x14ac:dyDescent="0.2">
      <c r="D182" s="11"/>
      <c r="F182" s="11"/>
      <c r="G182" s="11"/>
      <c r="H182" s="11"/>
      <c r="I182" s="11"/>
      <c r="J182" s="11"/>
      <c r="K182" s="11"/>
      <c r="L182" s="11"/>
      <c r="M182" s="11"/>
      <c r="N182" s="11"/>
      <c r="O182" s="12"/>
      <c r="P182" s="11"/>
      <c r="Q182" s="11"/>
      <c r="R182" s="11"/>
      <c r="S182" s="11"/>
      <c r="T182" s="11"/>
      <c r="U182" s="12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3"/>
      <c r="BT182" s="14"/>
      <c r="BU182" s="11"/>
      <c r="BV182" s="11"/>
      <c r="BW182" s="11"/>
      <c r="BX182" s="11"/>
      <c r="BY182" s="11"/>
      <c r="BZ182" s="13"/>
    </row>
    <row r="183" spans="4:78" x14ac:dyDescent="0.2">
      <c r="D183" s="11"/>
      <c r="F183" s="11"/>
      <c r="G183" s="11"/>
      <c r="H183" s="11"/>
      <c r="I183" s="11"/>
      <c r="J183" s="11"/>
      <c r="K183" s="11"/>
      <c r="L183" s="11"/>
      <c r="M183" s="11"/>
      <c r="N183" s="11"/>
      <c r="O183" s="12"/>
      <c r="P183" s="11"/>
      <c r="Q183" s="11"/>
      <c r="R183" s="11"/>
      <c r="S183" s="11"/>
      <c r="T183" s="11"/>
      <c r="U183" s="12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3"/>
      <c r="BT183" s="14"/>
      <c r="BU183" s="11"/>
      <c r="BV183" s="11"/>
      <c r="BW183" s="11"/>
      <c r="BX183" s="11"/>
      <c r="BY183" s="11"/>
      <c r="BZ183" s="13"/>
    </row>
    <row r="184" spans="4:78" x14ac:dyDescent="0.2">
      <c r="D184" s="11"/>
      <c r="F184" s="11"/>
      <c r="G184" s="11"/>
      <c r="H184" s="11"/>
      <c r="I184" s="11"/>
      <c r="J184" s="11"/>
      <c r="K184" s="11"/>
      <c r="L184" s="11"/>
      <c r="M184" s="11"/>
      <c r="N184" s="11"/>
      <c r="O184" s="12"/>
      <c r="P184" s="11"/>
      <c r="Q184" s="11"/>
      <c r="R184" s="11"/>
      <c r="S184" s="11"/>
      <c r="T184" s="11"/>
      <c r="U184" s="12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3"/>
      <c r="BT184" s="14"/>
      <c r="BU184" s="11"/>
      <c r="BV184" s="11"/>
      <c r="BW184" s="11"/>
      <c r="BX184" s="11"/>
      <c r="BY184" s="11"/>
      <c r="BZ184" s="13"/>
    </row>
    <row r="185" spans="4:78" x14ac:dyDescent="0.2">
      <c r="D185" s="11"/>
      <c r="F185" s="11"/>
      <c r="G185" s="11"/>
      <c r="H185" s="11"/>
      <c r="I185" s="11"/>
      <c r="J185" s="11"/>
      <c r="K185" s="11"/>
      <c r="L185" s="11"/>
      <c r="M185" s="11"/>
      <c r="N185" s="11"/>
      <c r="O185" s="12"/>
      <c r="P185" s="11"/>
      <c r="Q185" s="11"/>
      <c r="R185" s="11"/>
      <c r="S185" s="11"/>
      <c r="T185" s="11"/>
      <c r="U185" s="12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3"/>
      <c r="BT185" s="14"/>
      <c r="BU185" s="11"/>
      <c r="BV185" s="11"/>
      <c r="BW185" s="11"/>
      <c r="BX185" s="11"/>
      <c r="BY185" s="11"/>
      <c r="BZ185" s="13"/>
    </row>
    <row r="186" spans="4:78" x14ac:dyDescent="0.2">
      <c r="D186" s="11"/>
      <c r="F186" s="11"/>
      <c r="G186" s="11"/>
      <c r="H186" s="11"/>
      <c r="I186" s="11"/>
      <c r="J186" s="11"/>
      <c r="K186" s="11"/>
      <c r="L186" s="11"/>
      <c r="M186" s="11"/>
      <c r="N186" s="11"/>
      <c r="O186" s="12"/>
      <c r="P186" s="11"/>
      <c r="Q186" s="11"/>
      <c r="R186" s="11"/>
      <c r="S186" s="11"/>
      <c r="T186" s="11"/>
      <c r="U186" s="12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3"/>
      <c r="BT186" s="14"/>
      <c r="BU186" s="11"/>
      <c r="BV186" s="11"/>
      <c r="BW186" s="11"/>
      <c r="BX186" s="11"/>
      <c r="BY186" s="11"/>
      <c r="BZ186" s="13"/>
    </row>
    <row r="187" spans="4:78" x14ac:dyDescent="0.2">
      <c r="D187" s="11"/>
      <c r="F187" s="11"/>
      <c r="G187" s="11"/>
      <c r="H187" s="11"/>
      <c r="I187" s="11"/>
      <c r="J187" s="11"/>
      <c r="K187" s="11"/>
      <c r="L187" s="11"/>
      <c r="M187" s="11"/>
      <c r="N187" s="11"/>
      <c r="O187" s="12"/>
      <c r="P187" s="11"/>
      <c r="Q187" s="11"/>
      <c r="R187" s="11"/>
      <c r="S187" s="11"/>
      <c r="T187" s="11"/>
      <c r="U187" s="12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3"/>
      <c r="BT187" s="14"/>
      <c r="BU187" s="11"/>
      <c r="BV187" s="11"/>
      <c r="BW187" s="11"/>
      <c r="BX187" s="11"/>
      <c r="BY187" s="11"/>
      <c r="BZ187" s="13"/>
    </row>
    <row r="188" spans="4:78" x14ac:dyDescent="0.2">
      <c r="D188" s="11"/>
      <c r="F188" s="11"/>
      <c r="G188" s="11"/>
      <c r="H188" s="11"/>
      <c r="I188" s="11"/>
      <c r="J188" s="11"/>
      <c r="K188" s="11"/>
      <c r="L188" s="11"/>
      <c r="M188" s="11"/>
      <c r="N188" s="11"/>
      <c r="O188" s="12"/>
      <c r="P188" s="11"/>
      <c r="Q188" s="11"/>
      <c r="R188" s="11"/>
      <c r="S188" s="11"/>
      <c r="T188" s="11"/>
      <c r="U188" s="12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3"/>
      <c r="BT188" s="14"/>
      <c r="BU188" s="11"/>
      <c r="BV188" s="11"/>
      <c r="BW188" s="11"/>
      <c r="BX188" s="11"/>
      <c r="BY188" s="11"/>
      <c r="BZ188" s="13"/>
    </row>
    <row r="189" spans="4:78" x14ac:dyDescent="0.2">
      <c r="D189" s="11"/>
      <c r="F189" s="11"/>
      <c r="G189" s="11"/>
      <c r="H189" s="11"/>
      <c r="I189" s="11"/>
      <c r="J189" s="11"/>
      <c r="K189" s="11"/>
      <c r="L189" s="11"/>
      <c r="M189" s="11"/>
      <c r="N189" s="11"/>
      <c r="O189" s="12"/>
      <c r="P189" s="11"/>
      <c r="Q189" s="11"/>
      <c r="R189" s="11"/>
      <c r="S189" s="11"/>
      <c r="T189" s="11"/>
      <c r="U189" s="12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3"/>
      <c r="BT189" s="14"/>
      <c r="BU189" s="11"/>
      <c r="BV189" s="11"/>
      <c r="BW189" s="11"/>
      <c r="BX189" s="11"/>
      <c r="BY189" s="11"/>
      <c r="BZ189" s="13"/>
    </row>
    <row r="190" spans="4:78" x14ac:dyDescent="0.2">
      <c r="D190" s="11"/>
      <c r="F190" s="11"/>
      <c r="G190" s="11"/>
      <c r="H190" s="11"/>
      <c r="I190" s="11"/>
      <c r="J190" s="11"/>
      <c r="K190" s="11"/>
      <c r="L190" s="11"/>
      <c r="M190" s="11"/>
      <c r="N190" s="11"/>
      <c r="O190" s="12"/>
      <c r="P190" s="11"/>
      <c r="Q190" s="11"/>
      <c r="R190" s="11"/>
      <c r="S190" s="11"/>
      <c r="T190" s="11"/>
      <c r="U190" s="12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3"/>
      <c r="BT190" s="14"/>
      <c r="BU190" s="11"/>
      <c r="BV190" s="11"/>
      <c r="BW190" s="11"/>
      <c r="BX190" s="11"/>
      <c r="BY190" s="11"/>
      <c r="BZ190" s="13"/>
    </row>
    <row r="191" spans="4:78" x14ac:dyDescent="0.2">
      <c r="D191" s="11"/>
      <c r="F191" s="11"/>
      <c r="G191" s="11"/>
      <c r="H191" s="11"/>
      <c r="I191" s="11"/>
      <c r="J191" s="11"/>
      <c r="K191" s="11"/>
      <c r="L191" s="11"/>
      <c r="M191" s="11"/>
      <c r="N191" s="11"/>
      <c r="O191" s="12"/>
      <c r="P191" s="11"/>
      <c r="Q191" s="11"/>
      <c r="R191" s="11"/>
      <c r="S191" s="11"/>
      <c r="T191" s="11"/>
      <c r="U191" s="12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3"/>
      <c r="BT191" s="14"/>
      <c r="BU191" s="11"/>
      <c r="BV191" s="11"/>
      <c r="BW191" s="11"/>
      <c r="BX191" s="11"/>
      <c r="BY191" s="11"/>
      <c r="BZ191" s="13"/>
    </row>
    <row r="192" spans="4:78" x14ac:dyDescent="0.2">
      <c r="D192" s="11"/>
      <c r="F192" s="11"/>
      <c r="G192" s="11"/>
      <c r="H192" s="11"/>
      <c r="I192" s="11"/>
      <c r="J192" s="11"/>
      <c r="K192" s="11"/>
      <c r="L192" s="11"/>
      <c r="M192" s="11"/>
      <c r="N192" s="11"/>
      <c r="O192" s="12"/>
      <c r="P192" s="11"/>
      <c r="Q192" s="11"/>
      <c r="R192" s="11"/>
      <c r="S192" s="11"/>
      <c r="T192" s="11"/>
      <c r="U192" s="12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3"/>
      <c r="BT192" s="14"/>
      <c r="BU192" s="11"/>
      <c r="BV192" s="11"/>
      <c r="BW192" s="11"/>
      <c r="BX192" s="11"/>
      <c r="BY192" s="11"/>
      <c r="BZ192" s="13"/>
    </row>
    <row r="193" spans="4:78" x14ac:dyDescent="0.2">
      <c r="D193" s="11"/>
      <c r="F193" s="11"/>
      <c r="G193" s="11"/>
      <c r="H193" s="11"/>
      <c r="I193" s="11"/>
      <c r="J193" s="11"/>
      <c r="K193" s="11"/>
      <c r="L193" s="11"/>
      <c r="M193" s="11"/>
      <c r="N193" s="11"/>
      <c r="O193" s="12"/>
      <c r="P193" s="11"/>
      <c r="Q193" s="11"/>
      <c r="R193" s="11"/>
      <c r="S193" s="11"/>
      <c r="T193" s="11"/>
      <c r="U193" s="12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3"/>
      <c r="BT193" s="14"/>
      <c r="BU193" s="11"/>
      <c r="BV193" s="11"/>
      <c r="BW193" s="11"/>
      <c r="BX193" s="11"/>
      <c r="BY193" s="11"/>
      <c r="BZ193" s="13"/>
    </row>
    <row r="194" spans="4:78" x14ac:dyDescent="0.2">
      <c r="D194" s="11"/>
      <c r="F194" s="11"/>
      <c r="G194" s="11"/>
      <c r="H194" s="11"/>
      <c r="I194" s="11"/>
      <c r="J194" s="11"/>
      <c r="K194" s="11"/>
      <c r="L194" s="11"/>
      <c r="M194" s="11"/>
      <c r="N194" s="11"/>
      <c r="O194" s="12"/>
      <c r="P194" s="11"/>
      <c r="Q194" s="11"/>
      <c r="R194" s="11"/>
      <c r="S194" s="11"/>
      <c r="T194" s="11"/>
      <c r="U194" s="12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3"/>
      <c r="BT194" s="14"/>
      <c r="BU194" s="11"/>
      <c r="BV194" s="11"/>
      <c r="BW194" s="11"/>
      <c r="BX194" s="11"/>
      <c r="BY194" s="11"/>
      <c r="BZ194" s="13"/>
    </row>
    <row r="195" spans="4:78" x14ac:dyDescent="0.2">
      <c r="D195" s="11"/>
      <c r="F195" s="11"/>
      <c r="G195" s="11"/>
      <c r="H195" s="11"/>
      <c r="I195" s="11"/>
      <c r="J195" s="11"/>
      <c r="K195" s="11"/>
      <c r="L195" s="11"/>
      <c r="M195" s="11"/>
      <c r="N195" s="11"/>
      <c r="O195" s="12"/>
      <c r="P195" s="11"/>
      <c r="Q195" s="11"/>
      <c r="R195" s="11"/>
      <c r="S195" s="11"/>
      <c r="T195" s="11"/>
      <c r="U195" s="12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3"/>
      <c r="BT195" s="14"/>
      <c r="BU195" s="11"/>
      <c r="BV195" s="11"/>
      <c r="BW195" s="11"/>
      <c r="BX195" s="11"/>
      <c r="BY195" s="11"/>
      <c r="BZ195" s="13"/>
    </row>
    <row r="196" spans="4:78" x14ac:dyDescent="0.2">
      <c r="D196" s="11"/>
      <c r="F196" s="11"/>
      <c r="G196" s="11"/>
      <c r="H196" s="11"/>
      <c r="I196" s="11"/>
      <c r="J196" s="11"/>
      <c r="K196" s="11"/>
      <c r="L196" s="11"/>
      <c r="M196" s="11"/>
      <c r="N196" s="11"/>
      <c r="O196" s="12"/>
      <c r="P196" s="11"/>
      <c r="Q196" s="11"/>
      <c r="R196" s="11"/>
      <c r="S196" s="11"/>
      <c r="T196" s="11"/>
      <c r="U196" s="12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3"/>
      <c r="BT196" s="14"/>
      <c r="BU196" s="11"/>
      <c r="BV196" s="11"/>
      <c r="BW196" s="11"/>
      <c r="BX196" s="11"/>
      <c r="BY196" s="11"/>
      <c r="BZ196" s="13"/>
    </row>
    <row r="197" spans="4:78" x14ac:dyDescent="0.2">
      <c r="D197" s="11"/>
      <c r="F197" s="11"/>
      <c r="G197" s="11"/>
      <c r="H197" s="11"/>
      <c r="I197" s="11"/>
      <c r="J197" s="11"/>
      <c r="K197" s="11"/>
      <c r="L197" s="11"/>
      <c r="M197" s="11"/>
      <c r="N197" s="11"/>
      <c r="O197" s="12"/>
      <c r="P197" s="11"/>
      <c r="Q197" s="11"/>
      <c r="R197" s="11"/>
      <c r="S197" s="11"/>
      <c r="T197" s="11"/>
      <c r="U197" s="12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3"/>
      <c r="BT197" s="14"/>
      <c r="BU197" s="11"/>
      <c r="BV197" s="11"/>
      <c r="BW197" s="11"/>
      <c r="BX197" s="11"/>
      <c r="BY197" s="11"/>
      <c r="BZ197" s="13"/>
    </row>
    <row r="198" spans="4:78" x14ac:dyDescent="0.2">
      <c r="D198" s="11"/>
      <c r="F198" s="11"/>
      <c r="G198" s="11"/>
      <c r="H198" s="11"/>
      <c r="I198" s="11"/>
      <c r="J198" s="11"/>
      <c r="K198" s="11"/>
      <c r="L198" s="11"/>
      <c r="M198" s="11"/>
      <c r="N198" s="11"/>
      <c r="O198" s="12"/>
      <c r="P198" s="11"/>
      <c r="Q198" s="11"/>
      <c r="R198" s="11"/>
      <c r="S198" s="11"/>
      <c r="T198" s="11"/>
      <c r="U198" s="12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3"/>
      <c r="BT198" s="14"/>
      <c r="BU198" s="11"/>
      <c r="BV198" s="11"/>
      <c r="BW198" s="11"/>
      <c r="BX198" s="11"/>
      <c r="BY198" s="11"/>
      <c r="BZ198" s="13"/>
    </row>
    <row r="199" spans="4:78" x14ac:dyDescent="0.2">
      <c r="D199" s="11"/>
      <c r="F199" s="11"/>
      <c r="G199" s="11"/>
      <c r="H199" s="11"/>
      <c r="I199" s="11"/>
      <c r="J199" s="11"/>
      <c r="K199" s="11"/>
      <c r="L199" s="11"/>
      <c r="M199" s="11"/>
      <c r="N199" s="11"/>
      <c r="O199" s="12"/>
      <c r="P199" s="11"/>
      <c r="Q199" s="11"/>
      <c r="R199" s="11"/>
      <c r="S199" s="11"/>
      <c r="T199" s="11"/>
      <c r="U199" s="12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3"/>
      <c r="BT199" s="14"/>
      <c r="BU199" s="11"/>
      <c r="BV199" s="11"/>
      <c r="BW199" s="11"/>
      <c r="BX199" s="11"/>
      <c r="BY199" s="11"/>
      <c r="BZ199" s="13"/>
    </row>
    <row r="200" spans="4:78" x14ac:dyDescent="0.2">
      <c r="D200" s="11"/>
      <c r="F200" s="11"/>
      <c r="G200" s="11"/>
      <c r="H200" s="11"/>
      <c r="I200" s="11"/>
      <c r="J200" s="11"/>
      <c r="K200" s="11"/>
      <c r="L200" s="11"/>
      <c r="M200" s="11"/>
      <c r="N200" s="11"/>
      <c r="O200" s="12"/>
      <c r="P200" s="11"/>
      <c r="Q200" s="11"/>
      <c r="R200" s="11"/>
      <c r="S200" s="11"/>
      <c r="T200" s="11"/>
      <c r="U200" s="12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3"/>
      <c r="BT200" s="14"/>
      <c r="BU200" s="11"/>
      <c r="BV200" s="11"/>
      <c r="BW200" s="11"/>
      <c r="BX200" s="11"/>
      <c r="BY200" s="11"/>
      <c r="BZ200" s="13"/>
    </row>
    <row r="201" spans="4:78" x14ac:dyDescent="0.2">
      <c r="D201" s="11"/>
      <c r="F201" s="11"/>
      <c r="G201" s="11"/>
      <c r="H201" s="11"/>
      <c r="I201" s="11"/>
      <c r="J201" s="11"/>
      <c r="K201" s="11"/>
      <c r="L201" s="11"/>
      <c r="M201" s="11"/>
      <c r="N201" s="11"/>
      <c r="O201" s="12"/>
      <c r="P201" s="11"/>
      <c r="Q201" s="11"/>
      <c r="R201" s="11"/>
      <c r="S201" s="11"/>
      <c r="T201" s="11"/>
      <c r="U201" s="12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3"/>
      <c r="BT201" s="14"/>
      <c r="BU201" s="11"/>
      <c r="BV201" s="11"/>
      <c r="BW201" s="11"/>
      <c r="BX201" s="11"/>
      <c r="BY201" s="11"/>
      <c r="BZ201" s="13"/>
    </row>
    <row r="202" spans="4:78" x14ac:dyDescent="0.2">
      <c r="D202" s="11"/>
      <c r="F202" s="11"/>
      <c r="G202" s="11"/>
      <c r="H202" s="11"/>
      <c r="I202" s="11"/>
      <c r="J202" s="11"/>
      <c r="K202" s="11"/>
      <c r="L202" s="11"/>
      <c r="M202" s="11"/>
      <c r="N202" s="11"/>
      <c r="O202" s="12"/>
      <c r="P202" s="11"/>
      <c r="Q202" s="11"/>
      <c r="R202" s="11"/>
      <c r="S202" s="11"/>
      <c r="T202" s="11"/>
      <c r="U202" s="12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3"/>
      <c r="BT202" s="14"/>
      <c r="BU202" s="11"/>
      <c r="BV202" s="11"/>
      <c r="BW202" s="11"/>
      <c r="BX202" s="11"/>
      <c r="BY202" s="11"/>
      <c r="BZ202" s="13"/>
    </row>
    <row r="203" spans="4:78" x14ac:dyDescent="0.2">
      <c r="D203" s="11"/>
      <c r="F203" s="11"/>
      <c r="G203" s="11"/>
      <c r="H203" s="11"/>
      <c r="I203" s="11"/>
      <c r="J203" s="11"/>
      <c r="K203" s="11"/>
      <c r="L203" s="11"/>
      <c r="M203" s="11"/>
      <c r="N203" s="11"/>
      <c r="O203" s="12"/>
      <c r="P203" s="11"/>
      <c r="Q203" s="11"/>
      <c r="R203" s="11"/>
      <c r="S203" s="11"/>
      <c r="T203" s="11"/>
      <c r="U203" s="12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3"/>
      <c r="BT203" s="14"/>
      <c r="BU203" s="11"/>
      <c r="BV203" s="11"/>
      <c r="BW203" s="11"/>
      <c r="BX203" s="11"/>
      <c r="BY203" s="11"/>
      <c r="BZ203" s="13"/>
    </row>
    <row r="204" spans="4:78" x14ac:dyDescent="0.2">
      <c r="D204" s="11"/>
      <c r="F204" s="11"/>
      <c r="G204" s="11"/>
      <c r="H204" s="11"/>
      <c r="I204" s="11"/>
      <c r="J204" s="11"/>
      <c r="K204" s="11"/>
      <c r="L204" s="11"/>
      <c r="M204" s="11"/>
      <c r="N204" s="11"/>
      <c r="O204" s="12"/>
      <c r="P204" s="11"/>
      <c r="Q204" s="11"/>
      <c r="R204" s="11"/>
      <c r="S204" s="11"/>
      <c r="T204" s="11"/>
      <c r="U204" s="12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3"/>
      <c r="BT204" s="14"/>
      <c r="BU204" s="11"/>
      <c r="BV204" s="11"/>
      <c r="BW204" s="11"/>
      <c r="BX204" s="11"/>
      <c r="BY204" s="11"/>
      <c r="BZ204" s="13"/>
    </row>
    <row r="205" spans="4:78" x14ac:dyDescent="0.2">
      <c r="D205" s="11"/>
      <c r="F205" s="11"/>
      <c r="G205" s="11"/>
      <c r="H205" s="11"/>
      <c r="I205" s="11"/>
      <c r="J205" s="11"/>
      <c r="K205" s="11"/>
      <c r="L205" s="11"/>
      <c r="M205" s="11"/>
      <c r="N205" s="11"/>
      <c r="O205" s="12"/>
      <c r="P205" s="11"/>
      <c r="Q205" s="11"/>
      <c r="R205" s="11"/>
      <c r="S205" s="11"/>
      <c r="T205" s="11"/>
      <c r="U205" s="12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3"/>
      <c r="BT205" s="14"/>
      <c r="BU205" s="11"/>
      <c r="BV205" s="11"/>
      <c r="BW205" s="11"/>
      <c r="BX205" s="11"/>
      <c r="BY205" s="11"/>
      <c r="BZ205" s="13"/>
    </row>
    <row r="206" spans="4:78" x14ac:dyDescent="0.2">
      <c r="D206" s="11"/>
      <c r="F206" s="11"/>
      <c r="G206" s="11"/>
      <c r="H206" s="11"/>
      <c r="I206" s="11"/>
      <c r="J206" s="11"/>
      <c r="K206" s="11"/>
      <c r="L206" s="11"/>
      <c r="M206" s="11"/>
      <c r="N206" s="11"/>
      <c r="O206" s="12"/>
      <c r="P206" s="11"/>
      <c r="Q206" s="11"/>
      <c r="R206" s="11"/>
      <c r="S206" s="11"/>
      <c r="T206" s="11"/>
      <c r="U206" s="12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3"/>
      <c r="BT206" s="14"/>
      <c r="BU206" s="11"/>
      <c r="BV206" s="11"/>
      <c r="BW206" s="11"/>
      <c r="BX206" s="11"/>
      <c r="BY206" s="11"/>
      <c r="BZ206" s="13"/>
    </row>
    <row r="207" spans="4:78" x14ac:dyDescent="0.2">
      <c r="D207" s="11"/>
      <c r="F207" s="11"/>
      <c r="G207" s="11"/>
      <c r="H207" s="11"/>
      <c r="I207" s="11"/>
      <c r="J207" s="11"/>
      <c r="K207" s="11"/>
      <c r="L207" s="11"/>
      <c r="M207" s="11"/>
      <c r="N207" s="11"/>
      <c r="O207" s="12"/>
      <c r="P207" s="11"/>
      <c r="Q207" s="11"/>
      <c r="R207" s="11"/>
      <c r="S207" s="11"/>
      <c r="T207" s="11"/>
      <c r="U207" s="12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3"/>
      <c r="BT207" s="14"/>
      <c r="BU207" s="11"/>
      <c r="BV207" s="11"/>
      <c r="BW207" s="11"/>
      <c r="BX207" s="11"/>
      <c r="BY207" s="11"/>
      <c r="BZ207" s="13"/>
    </row>
    <row r="208" spans="4:78" x14ac:dyDescent="0.2">
      <c r="D208" s="11"/>
      <c r="F208" s="11"/>
      <c r="G208" s="11"/>
      <c r="H208" s="11"/>
      <c r="I208" s="11"/>
      <c r="J208" s="11"/>
      <c r="K208" s="11"/>
      <c r="L208" s="11"/>
      <c r="M208" s="11"/>
      <c r="N208" s="11"/>
      <c r="O208" s="12"/>
      <c r="P208" s="11"/>
      <c r="Q208" s="11"/>
      <c r="R208" s="11"/>
      <c r="S208" s="11"/>
      <c r="T208" s="11"/>
      <c r="U208" s="12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3"/>
      <c r="BT208" s="14"/>
      <c r="BU208" s="11"/>
      <c r="BV208" s="11"/>
      <c r="BW208" s="11"/>
      <c r="BX208" s="11"/>
      <c r="BY208" s="11"/>
      <c r="BZ208" s="13"/>
    </row>
    <row r="209" spans="4:78" x14ac:dyDescent="0.2">
      <c r="D209" s="11"/>
      <c r="F209" s="11"/>
      <c r="G209" s="11"/>
      <c r="H209" s="11"/>
      <c r="I209" s="11"/>
      <c r="J209" s="11"/>
      <c r="K209" s="11"/>
      <c r="L209" s="11"/>
      <c r="M209" s="11"/>
      <c r="N209" s="11"/>
      <c r="O209" s="12"/>
      <c r="P209" s="11"/>
      <c r="Q209" s="11"/>
      <c r="R209" s="11"/>
      <c r="S209" s="11"/>
      <c r="T209" s="11"/>
      <c r="U209" s="12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3"/>
      <c r="BT209" s="14"/>
      <c r="BU209" s="11"/>
      <c r="BV209" s="11"/>
      <c r="BW209" s="11"/>
      <c r="BX209" s="11"/>
      <c r="BY209" s="11"/>
      <c r="BZ209" s="13"/>
    </row>
    <row r="210" spans="4:78" x14ac:dyDescent="0.2">
      <c r="D210" s="11"/>
      <c r="F210" s="11"/>
      <c r="G210" s="11"/>
      <c r="H210" s="11"/>
      <c r="I210" s="11"/>
      <c r="J210" s="11"/>
      <c r="K210" s="11"/>
      <c r="L210" s="11"/>
      <c r="M210" s="11"/>
      <c r="N210" s="11"/>
      <c r="O210" s="12"/>
      <c r="P210" s="11"/>
      <c r="Q210" s="11"/>
      <c r="R210" s="11"/>
      <c r="S210" s="11"/>
      <c r="T210" s="11"/>
      <c r="U210" s="12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3"/>
      <c r="BT210" s="14"/>
      <c r="BU210" s="11"/>
      <c r="BV210" s="11"/>
      <c r="BW210" s="11"/>
      <c r="BX210" s="11"/>
      <c r="BY210" s="11"/>
      <c r="BZ210" s="13"/>
    </row>
    <row r="211" spans="4:78" x14ac:dyDescent="0.2">
      <c r="D211" s="11"/>
      <c r="F211" s="11"/>
      <c r="G211" s="11"/>
      <c r="H211" s="11"/>
      <c r="I211" s="11"/>
      <c r="J211" s="11"/>
      <c r="K211" s="11"/>
      <c r="L211" s="11"/>
      <c r="M211" s="11"/>
      <c r="N211" s="11"/>
      <c r="O211" s="12"/>
      <c r="P211" s="11"/>
      <c r="Q211" s="11"/>
      <c r="R211" s="11"/>
      <c r="S211" s="11"/>
      <c r="T211" s="11"/>
      <c r="U211" s="12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3"/>
      <c r="BT211" s="14"/>
      <c r="BU211" s="11"/>
      <c r="BV211" s="11"/>
      <c r="BW211" s="11"/>
      <c r="BX211" s="11"/>
      <c r="BY211" s="11"/>
      <c r="BZ211" s="13"/>
    </row>
    <row r="212" spans="4:78" x14ac:dyDescent="0.2">
      <c r="D212" s="11"/>
      <c r="F212" s="11"/>
      <c r="G212" s="11"/>
      <c r="H212" s="11"/>
      <c r="I212" s="11"/>
      <c r="J212" s="11"/>
      <c r="K212" s="11"/>
      <c r="L212" s="11"/>
      <c r="M212" s="11"/>
      <c r="N212" s="11"/>
      <c r="O212" s="12"/>
      <c r="P212" s="11"/>
      <c r="Q212" s="11"/>
      <c r="R212" s="11"/>
      <c r="S212" s="11"/>
      <c r="T212" s="11"/>
      <c r="U212" s="12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3"/>
      <c r="BT212" s="14"/>
      <c r="BU212" s="11"/>
      <c r="BV212" s="11"/>
      <c r="BW212" s="11"/>
      <c r="BX212" s="11"/>
      <c r="BY212" s="11"/>
      <c r="BZ212" s="13"/>
    </row>
    <row r="213" spans="4:78" x14ac:dyDescent="0.2">
      <c r="D213" s="11"/>
      <c r="F213" s="11"/>
      <c r="G213" s="11"/>
      <c r="H213" s="11"/>
      <c r="I213" s="11"/>
      <c r="J213" s="11"/>
      <c r="K213" s="11"/>
      <c r="L213" s="11"/>
      <c r="M213" s="11"/>
      <c r="N213" s="11"/>
      <c r="O213" s="12"/>
      <c r="P213" s="11"/>
      <c r="Q213" s="11"/>
      <c r="R213" s="11"/>
      <c r="S213" s="11"/>
      <c r="T213" s="11"/>
      <c r="U213" s="12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3"/>
      <c r="BT213" s="14"/>
      <c r="BU213" s="11"/>
      <c r="BV213" s="11"/>
      <c r="BW213" s="11"/>
      <c r="BX213" s="11"/>
      <c r="BY213" s="11"/>
      <c r="BZ213" s="13"/>
    </row>
    <row r="214" spans="4:78" x14ac:dyDescent="0.2">
      <c r="D214" s="11"/>
      <c r="F214" s="11"/>
      <c r="G214" s="11"/>
      <c r="H214" s="11"/>
      <c r="I214" s="11"/>
      <c r="J214" s="11"/>
      <c r="K214" s="11"/>
      <c r="L214" s="11"/>
      <c r="M214" s="11"/>
      <c r="N214" s="11"/>
      <c r="O214" s="12"/>
      <c r="P214" s="11"/>
      <c r="Q214" s="11"/>
      <c r="R214" s="11"/>
      <c r="S214" s="11"/>
      <c r="T214" s="11"/>
      <c r="U214" s="12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3"/>
      <c r="BT214" s="14"/>
      <c r="BU214" s="11"/>
      <c r="BV214" s="11"/>
      <c r="BW214" s="11"/>
      <c r="BX214" s="11"/>
      <c r="BY214" s="11"/>
      <c r="BZ214" s="13"/>
    </row>
    <row r="215" spans="4:78" x14ac:dyDescent="0.2">
      <c r="D215" s="11"/>
      <c r="F215" s="11"/>
      <c r="G215" s="11"/>
      <c r="H215" s="11"/>
      <c r="I215" s="11"/>
      <c r="J215" s="11"/>
      <c r="K215" s="11"/>
      <c r="L215" s="11"/>
      <c r="M215" s="11"/>
      <c r="N215" s="11"/>
      <c r="O215" s="12"/>
      <c r="P215" s="11"/>
      <c r="Q215" s="11"/>
      <c r="R215" s="11"/>
      <c r="S215" s="11"/>
      <c r="T215" s="11"/>
      <c r="U215" s="12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3"/>
      <c r="BT215" s="14"/>
      <c r="BU215" s="11"/>
      <c r="BV215" s="11"/>
      <c r="BW215" s="11"/>
      <c r="BX215" s="11"/>
      <c r="BY215" s="11"/>
      <c r="BZ215" s="13"/>
    </row>
    <row r="216" spans="4:78" x14ac:dyDescent="0.2">
      <c r="D216" s="11"/>
      <c r="F216" s="11"/>
      <c r="G216" s="11"/>
      <c r="H216" s="11"/>
      <c r="I216" s="11"/>
      <c r="J216" s="11"/>
      <c r="K216" s="11"/>
      <c r="L216" s="11"/>
      <c r="M216" s="11"/>
      <c r="N216" s="11"/>
      <c r="O216" s="12"/>
      <c r="P216" s="11"/>
      <c r="Q216" s="11"/>
      <c r="R216" s="11"/>
      <c r="S216" s="11"/>
      <c r="T216" s="11"/>
      <c r="U216" s="12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3"/>
      <c r="BT216" s="14"/>
      <c r="BU216" s="11"/>
      <c r="BV216" s="11"/>
      <c r="BW216" s="11"/>
      <c r="BX216" s="11"/>
      <c r="BY216" s="11"/>
      <c r="BZ216" s="13"/>
    </row>
    <row r="217" spans="4:78" x14ac:dyDescent="0.2">
      <c r="D217" s="11"/>
      <c r="F217" s="11"/>
      <c r="G217" s="11"/>
      <c r="H217" s="11"/>
      <c r="I217" s="11"/>
      <c r="J217" s="11"/>
      <c r="K217" s="11"/>
      <c r="L217" s="11"/>
      <c r="M217" s="11"/>
      <c r="N217" s="11"/>
      <c r="O217" s="12"/>
      <c r="P217" s="11"/>
      <c r="Q217" s="11"/>
      <c r="R217" s="11"/>
      <c r="S217" s="11"/>
      <c r="T217" s="11"/>
      <c r="U217" s="12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3"/>
      <c r="BT217" s="14"/>
      <c r="BU217" s="11"/>
      <c r="BV217" s="11"/>
      <c r="BW217" s="11"/>
      <c r="BX217" s="11"/>
      <c r="BY217" s="11"/>
      <c r="BZ217" s="13"/>
    </row>
    <row r="218" spans="4:78" x14ac:dyDescent="0.2">
      <c r="D218" s="11"/>
      <c r="F218" s="11"/>
      <c r="G218" s="11"/>
      <c r="H218" s="11"/>
      <c r="I218" s="11"/>
      <c r="J218" s="11"/>
      <c r="K218" s="11"/>
      <c r="L218" s="11"/>
      <c r="M218" s="11"/>
      <c r="N218" s="11"/>
      <c r="O218" s="12"/>
      <c r="P218" s="11"/>
      <c r="Q218" s="11"/>
      <c r="R218" s="11"/>
      <c r="S218" s="11"/>
      <c r="T218" s="11"/>
      <c r="U218" s="12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3"/>
      <c r="BT218" s="14"/>
      <c r="BU218" s="11"/>
      <c r="BV218" s="11"/>
      <c r="BW218" s="11"/>
      <c r="BX218" s="11"/>
      <c r="BY218" s="11"/>
      <c r="BZ218" s="13"/>
    </row>
    <row r="219" spans="4:78" x14ac:dyDescent="0.2">
      <c r="D219" s="11"/>
      <c r="F219" s="11"/>
      <c r="G219" s="11"/>
      <c r="H219" s="11"/>
      <c r="I219" s="11"/>
      <c r="J219" s="11"/>
      <c r="K219" s="11"/>
      <c r="L219" s="11"/>
      <c r="M219" s="11"/>
      <c r="N219" s="11"/>
      <c r="O219" s="12"/>
      <c r="P219" s="11"/>
      <c r="Q219" s="11"/>
      <c r="R219" s="11"/>
      <c r="S219" s="11"/>
      <c r="T219" s="11"/>
      <c r="U219" s="12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3"/>
      <c r="BT219" s="14"/>
      <c r="BU219" s="11"/>
      <c r="BV219" s="11"/>
      <c r="BW219" s="11"/>
      <c r="BX219" s="11"/>
      <c r="BY219" s="11"/>
      <c r="BZ219" s="13"/>
    </row>
    <row r="220" spans="4:78" x14ac:dyDescent="0.2">
      <c r="D220" s="11"/>
      <c r="F220" s="11"/>
      <c r="G220" s="11"/>
      <c r="H220" s="11"/>
      <c r="I220" s="11"/>
      <c r="J220" s="11"/>
      <c r="K220" s="11"/>
      <c r="L220" s="11"/>
      <c r="M220" s="11"/>
      <c r="N220" s="11"/>
      <c r="O220" s="12"/>
      <c r="P220" s="11"/>
      <c r="Q220" s="11"/>
      <c r="R220" s="11"/>
      <c r="S220" s="11"/>
      <c r="T220" s="11"/>
      <c r="U220" s="12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3"/>
      <c r="BT220" s="14"/>
      <c r="BU220" s="11"/>
      <c r="BV220" s="11"/>
      <c r="BW220" s="11"/>
      <c r="BX220" s="11"/>
      <c r="BY220" s="11"/>
      <c r="BZ220" s="13"/>
    </row>
    <row r="221" spans="4:78" x14ac:dyDescent="0.2"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U221" s="11"/>
      <c r="BV221" s="11"/>
      <c r="BW221" s="11"/>
      <c r="BX221" s="11"/>
      <c r="BY221" s="11"/>
    </row>
  </sheetData>
  <phoneticPr fontId="5" type="noConversion"/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4" name="Button 1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0</xdr:row>
                    <xdr:rowOff>19050</xdr:rowOff>
                  </from>
                  <to>
                    <xdr:col>5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GG159"/>
  <sheetViews>
    <sheetView tabSelected="1" zoomScale="80" zoomScaleNormal="80" workbookViewId="0">
      <selection activeCell="A4" sqref="A4"/>
    </sheetView>
  </sheetViews>
  <sheetFormatPr defaultColWidth="9.140625" defaultRowHeight="12.75" x14ac:dyDescent="0.2"/>
  <cols>
    <col min="1" max="1" width="61.85546875" customWidth="1"/>
    <col min="2" max="2" width="18.28515625" bestFit="1" customWidth="1"/>
    <col min="4" max="4" width="12" bestFit="1" customWidth="1"/>
    <col min="182" max="182" width="9.140625" style="86"/>
    <col min="183" max="183" width="18.85546875" customWidth="1"/>
  </cols>
  <sheetData>
    <row r="1" spans="1:184" ht="45.75" customHeight="1" x14ac:dyDescent="0.2">
      <c r="A1" s="73"/>
    </row>
    <row r="4" spans="1:184" s="82" customFormat="1" x14ac:dyDescent="0.2">
      <c r="A4" s="74"/>
      <c r="B4" s="82" t="s">
        <v>446</v>
      </c>
      <c r="C4" s="82" t="s">
        <v>447</v>
      </c>
      <c r="D4" s="82" t="s">
        <v>581</v>
      </c>
      <c r="E4" s="82" t="s">
        <v>448</v>
      </c>
      <c r="F4" s="82" t="s">
        <v>590</v>
      </c>
      <c r="G4" s="82" t="s">
        <v>708</v>
      </c>
      <c r="H4" s="82" t="s">
        <v>709</v>
      </c>
      <c r="I4" s="82" t="s">
        <v>589</v>
      </c>
      <c r="J4" s="82" t="s">
        <v>484</v>
      </c>
      <c r="K4" s="82" t="s">
        <v>483</v>
      </c>
      <c r="L4" s="82" t="s">
        <v>482</v>
      </c>
      <c r="M4" s="82" t="s">
        <v>486</v>
      </c>
      <c r="N4" s="82" t="s">
        <v>487</v>
      </c>
      <c r="O4" s="82" t="s">
        <v>488</v>
      </c>
      <c r="P4" s="82" t="s">
        <v>710</v>
      </c>
      <c r="Q4" s="82" t="s">
        <v>711</v>
      </c>
      <c r="R4" s="82" t="s">
        <v>712</v>
      </c>
      <c r="S4" s="82" t="s">
        <v>713</v>
      </c>
      <c r="T4" s="82" t="s">
        <v>714</v>
      </c>
      <c r="U4" s="82" t="s">
        <v>715</v>
      </c>
      <c r="V4" s="82" t="s">
        <v>716</v>
      </c>
      <c r="W4" s="82" t="s">
        <v>717</v>
      </c>
      <c r="X4" s="82" t="s">
        <v>718</v>
      </c>
      <c r="Y4" s="82" t="s">
        <v>719</v>
      </c>
      <c r="Z4" s="82" t="s">
        <v>720</v>
      </c>
      <c r="AA4" s="82" t="s">
        <v>587</v>
      </c>
      <c r="AB4" s="82" t="s">
        <v>477</v>
      </c>
      <c r="AC4" s="82" t="s">
        <v>476</v>
      </c>
      <c r="AD4" s="82" t="s">
        <v>475</v>
      </c>
      <c r="AE4" s="82" t="s">
        <v>479</v>
      </c>
      <c r="AF4" s="82" t="s">
        <v>480</v>
      </c>
      <c r="AG4" s="82" t="s">
        <v>481</v>
      </c>
      <c r="AH4" s="82" t="s">
        <v>467</v>
      </c>
      <c r="AI4" s="82" t="s">
        <v>455</v>
      </c>
      <c r="AJ4" s="82" t="s">
        <v>466</v>
      </c>
      <c r="AK4" s="82" t="s">
        <v>453</v>
      </c>
      <c r="AL4" s="82" t="s">
        <v>458</v>
      </c>
      <c r="AM4" s="82" t="s">
        <v>526</v>
      </c>
      <c r="AN4" s="82" t="s">
        <v>464</v>
      </c>
      <c r="AO4" s="82" t="s">
        <v>456</v>
      </c>
      <c r="AP4" s="82" t="s">
        <v>462</v>
      </c>
      <c r="AQ4" s="82" t="s">
        <v>457</v>
      </c>
      <c r="AR4" s="82" t="s">
        <v>474</v>
      </c>
      <c r="AS4" s="82" t="s">
        <v>528</v>
      </c>
      <c r="AT4" s="82" t="s">
        <v>460</v>
      </c>
      <c r="AU4" s="82" t="s">
        <v>523</v>
      </c>
      <c r="AV4" s="82" t="s">
        <v>515</v>
      </c>
      <c r="AW4" s="82" t="s">
        <v>514</v>
      </c>
      <c r="AX4" s="82" t="s">
        <v>525</v>
      </c>
      <c r="AY4" s="82" t="s">
        <v>452</v>
      </c>
      <c r="AZ4" s="82" t="s">
        <v>463</v>
      </c>
      <c r="BA4" s="82" t="s">
        <v>530</v>
      </c>
      <c r="BB4" s="82" t="s">
        <v>521</v>
      </c>
      <c r="BC4" s="82" t="s">
        <v>459</v>
      </c>
      <c r="BD4" s="82" t="s">
        <v>522</v>
      </c>
      <c r="BE4" s="82" t="s">
        <v>472</v>
      </c>
      <c r="BF4" s="82" t="s">
        <v>531</v>
      </c>
      <c r="BG4" s="82" t="s">
        <v>536</v>
      </c>
      <c r="BH4" s="82" t="s">
        <v>516</v>
      </c>
      <c r="BI4" s="82" t="s">
        <v>524</v>
      </c>
      <c r="BJ4" s="82" t="s">
        <v>529</v>
      </c>
      <c r="BK4" s="82" t="s">
        <v>461</v>
      </c>
      <c r="BL4" s="82" t="s">
        <v>465</v>
      </c>
      <c r="BM4" s="82" t="s">
        <v>473</v>
      </c>
      <c r="BN4" s="82" t="s">
        <v>518</v>
      </c>
      <c r="BO4" s="82" t="s">
        <v>527</v>
      </c>
      <c r="BP4" s="82" t="s">
        <v>535</v>
      </c>
      <c r="BQ4" s="82" t="s">
        <v>519</v>
      </c>
      <c r="BR4" s="82" t="s">
        <v>534</v>
      </c>
      <c r="BS4" s="82" t="s">
        <v>533</v>
      </c>
      <c r="BT4" s="82" t="s">
        <v>469</v>
      </c>
      <c r="BU4" s="82" t="s">
        <v>468</v>
      </c>
      <c r="BV4" s="82" t="s">
        <v>471</v>
      </c>
      <c r="BW4" s="82" t="s">
        <v>520</v>
      </c>
      <c r="BX4" s="82" t="s">
        <v>451</v>
      </c>
      <c r="BY4" s="82" t="s">
        <v>454</v>
      </c>
      <c r="BZ4" s="82" t="s">
        <v>470</v>
      </c>
      <c r="CA4" s="82" t="s">
        <v>517</v>
      </c>
      <c r="CB4" s="82" t="s">
        <v>721</v>
      </c>
      <c r="CC4" s="82" t="s">
        <v>532</v>
      </c>
      <c r="CD4" s="82" t="s">
        <v>505</v>
      </c>
      <c r="CE4" s="82" t="s">
        <v>493</v>
      </c>
      <c r="CF4" s="82" t="s">
        <v>504</v>
      </c>
      <c r="CG4" s="82" t="s">
        <v>491</v>
      </c>
      <c r="CH4" s="82" t="s">
        <v>496</v>
      </c>
      <c r="CI4" s="82" t="s">
        <v>549</v>
      </c>
      <c r="CJ4" s="82" t="s">
        <v>502</v>
      </c>
      <c r="CK4" s="82" t="s">
        <v>494</v>
      </c>
      <c r="CL4" s="82" t="s">
        <v>500</v>
      </c>
      <c r="CM4" s="82" t="s">
        <v>495</v>
      </c>
      <c r="CN4" s="82" t="s">
        <v>512</v>
      </c>
      <c r="CO4" s="82" t="s">
        <v>551</v>
      </c>
      <c r="CP4" s="82" t="s">
        <v>498</v>
      </c>
      <c r="CQ4" s="82" t="s">
        <v>546</v>
      </c>
      <c r="CR4" s="82" t="s">
        <v>538</v>
      </c>
      <c r="CS4" s="82" t="s">
        <v>537</v>
      </c>
      <c r="CT4" s="82" t="s">
        <v>548</v>
      </c>
      <c r="CU4" s="82" t="s">
        <v>490</v>
      </c>
      <c r="CV4" s="82" t="s">
        <v>501</v>
      </c>
      <c r="CW4" s="82" t="s">
        <v>553</v>
      </c>
      <c r="CX4" s="82" t="s">
        <v>544</v>
      </c>
      <c r="CY4" s="82" t="s">
        <v>497</v>
      </c>
      <c r="CZ4" s="82" t="s">
        <v>545</v>
      </c>
      <c r="DA4" s="82" t="s">
        <v>510</v>
      </c>
      <c r="DB4" s="82" t="s">
        <v>554</v>
      </c>
      <c r="DC4" s="82" t="s">
        <v>559</v>
      </c>
      <c r="DD4" s="82" t="s">
        <v>539</v>
      </c>
      <c r="DE4" s="82" t="s">
        <v>547</v>
      </c>
      <c r="DF4" s="82" t="s">
        <v>552</v>
      </c>
      <c r="DG4" s="82" t="s">
        <v>499</v>
      </c>
      <c r="DH4" s="82" t="s">
        <v>503</v>
      </c>
      <c r="DI4" s="82" t="s">
        <v>511</v>
      </c>
      <c r="DJ4" s="82" t="s">
        <v>541</v>
      </c>
      <c r="DK4" s="82" t="s">
        <v>550</v>
      </c>
      <c r="DL4" s="82" t="s">
        <v>558</v>
      </c>
      <c r="DM4" s="82" t="s">
        <v>542</v>
      </c>
      <c r="DN4" s="82" t="s">
        <v>557</v>
      </c>
      <c r="DO4" s="82" t="s">
        <v>556</v>
      </c>
      <c r="DP4" s="82" t="s">
        <v>507</v>
      </c>
      <c r="DQ4" s="82" t="s">
        <v>506</v>
      </c>
      <c r="DR4" s="82" t="s">
        <v>509</v>
      </c>
      <c r="DS4" s="82" t="s">
        <v>543</v>
      </c>
      <c r="DT4" s="82" t="s">
        <v>489</v>
      </c>
      <c r="DU4" s="82" t="s">
        <v>492</v>
      </c>
      <c r="DV4" s="82" t="s">
        <v>508</v>
      </c>
      <c r="DW4" s="82" t="s">
        <v>540</v>
      </c>
      <c r="DX4" s="82" t="s">
        <v>722</v>
      </c>
      <c r="DY4" s="82" t="s">
        <v>555</v>
      </c>
      <c r="DZ4" s="82" t="s">
        <v>478</v>
      </c>
      <c r="EA4" s="82" t="s">
        <v>586</v>
      </c>
      <c r="EB4" s="82" t="s">
        <v>485</v>
      </c>
      <c r="EC4" s="82" t="s">
        <v>588</v>
      </c>
      <c r="ED4" s="82" t="s">
        <v>723</v>
      </c>
      <c r="EE4" s="82" t="s">
        <v>724</v>
      </c>
      <c r="EF4" s="82" t="s">
        <v>725</v>
      </c>
      <c r="EG4" s="82" t="s">
        <v>726</v>
      </c>
      <c r="EH4" s="82" t="s">
        <v>727</v>
      </c>
      <c r="EI4" s="82" t="s">
        <v>728</v>
      </c>
      <c r="EJ4" s="82" t="s">
        <v>729</v>
      </c>
      <c r="EK4" s="82" t="s">
        <v>730</v>
      </c>
      <c r="EL4" s="82" t="s">
        <v>731</v>
      </c>
      <c r="EM4" s="82" t="s">
        <v>732</v>
      </c>
      <c r="EN4" s="82" t="s">
        <v>733</v>
      </c>
      <c r="EO4" s="82" t="s">
        <v>734</v>
      </c>
      <c r="EP4" s="82" t="s">
        <v>735</v>
      </c>
      <c r="EQ4" s="82" t="s">
        <v>736</v>
      </c>
      <c r="ER4" s="82" t="s">
        <v>737</v>
      </c>
      <c r="ES4" s="82" t="s">
        <v>738</v>
      </c>
      <c r="ET4" s="82" t="s">
        <v>577</v>
      </c>
      <c r="EU4" s="82" t="s">
        <v>566</v>
      </c>
      <c r="EV4" s="82" t="s">
        <v>567</v>
      </c>
      <c r="EW4" s="82" t="s">
        <v>560</v>
      </c>
      <c r="EX4" s="82" t="s">
        <v>573</v>
      </c>
      <c r="EY4" s="82" t="s">
        <v>572</v>
      </c>
      <c r="EZ4" s="82" t="s">
        <v>576</v>
      </c>
      <c r="FA4" s="82" t="s">
        <v>565</v>
      </c>
      <c r="FB4" s="82" t="s">
        <v>568</v>
      </c>
      <c r="FC4" s="82" t="s">
        <v>569</v>
      </c>
      <c r="FD4" s="82" t="s">
        <v>570</v>
      </c>
      <c r="FE4" s="82" t="s">
        <v>562</v>
      </c>
      <c r="FF4" s="82" t="s">
        <v>739</v>
      </c>
      <c r="FG4" s="82" t="s">
        <v>740</v>
      </c>
      <c r="FH4" s="82" t="s">
        <v>561</v>
      </c>
      <c r="FI4" s="82" t="s">
        <v>563</v>
      </c>
      <c r="FJ4" s="82" t="s">
        <v>574</v>
      </c>
      <c r="FK4" s="82" t="s">
        <v>564</v>
      </c>
      <c r="FL4" s="82" t="s">
        <v>571</v>
      </c>
      <c r="FM4" s="82" t="s">
        <v>575</v>
      </c>
      <c r="FN4" s="82" t="s">
        <v>741</v>
      </c>
      <c r="FO4" s="82" t="s">
        <v>742</v>
      </c>
      <c r="FP4" s="82" t="s">
        <v>743</v>
      </c>
      <c r="FQ4" s="82" t="s">
        <v>449</v>
      </c>
      <c r="FR4" s="82" t="s">
        <v>450</v>
      </c>
      <c r="FS4" s="82" t="s">
        <v>578</v>
      </c>
      <c r="FT4" s="82" t="s">
        <v>579</v>
      </c>
      <c r="FU4" s="82" t="s">
        <v>580</v>
      </c>
      <c r="FV4" s="82" t="s">
        <v>582</v>
      </c>
      <c r="FW4" s="82" t="s">
        <v>583</v>
      </c>
      <c r="FX4" s="82" t="s">
        <v>584</v>
      </c>
      <c r="FY4" s="82" t="s">
        <v>585</v>
      </c>
      <c r="FZ4" s="88" t="s">
        <v>824</v>
      </c>
      <c r="GA4" s="83" t="s">
        <v>425</v>
      </c>
      <c r="GB4" s="83" t="s">
        <v>825</v>
      </c>
    </row>
    <row r="5" spans="1:184" x14ac:dyDescent="0.2">
      <c r="GB5" s="83"/>
    </row>
    <row r="6" spans="1:184" x14ac:dyDescent="0.2">
      <c r="GB6" s="83"/>
    </row>
    <row r="7" spans="1:184" x14ac:dyDescent="0.2">
      <c r="GB7" s="83"/>
    </row>
    <row r="8" spans="1:184" x14ac:dyDescent="0.2">
      <c r="A8" s="83"/>
      <c r="GB8" s="83"/>
    </row>
    <row r="9" spans="1:184" x14ac:dyDescent="0.2">
      <c r="GB9" s="83"/>
    </row>
    <row r="10" spans="1:184" x14ac:dyDescent="0.2">
      <c r="GB10" s="83"/>
    </row>
    <row r="11" spans="1:184" x14ac:dyDescent="0.2">
      <c r="GB11" s="83"/>
    </row>
    <row r="12" spans="1:184" x14ac:dyDescent="0.2">
      <c r="GB12" s="83"/>
    </row>
    <row r="13" spans="1:184" x14ac:dyDescent="0.2">
      <c r="GB13" s="83"/>
    </row>
    <row r="14" spans="1:184" x14ac:dyDescent="0.2">
      <c r="GB14" s="83"/>
    </row>
    <row r="15" spans="1:184" x14ac:dyDescent="0.2">
      <c r="GB15" s="83"/>
    </row>
    <row r="16" spans="1:184" x14ac:dyDescent="0.2">
      <c r="GB16" s="83"/>
    </row>
    <row r="17" spans="1:189" x14ac:dyDescent="0.2">
      <c r="A17" s="87"/>
      <c r="GB17" s="83"/>
    </row>
    <row r="18" spans="1:189" x14ac:dyDescent="0.2">
      <c r="A18" s="9"/>
      <c r="GB18" s="83"/>
    </row>
    <row r="19" spans="1:189" x14ac:dyDescent="0.2">
      <c r="A19" s="9"/>
      <c r="GB19" s="83"/>
    </row>
    <row r="20" spans="1:189" x14ac:dyDescent="0.2">
      <c r="A20" s="9"/>
      <c r="GB20" s="83"/>
    </row>
    <row r="21" spans="1:189" x14ac:dyDescent="0.2">
      <c r="GB21" s="83"/>
    </row>
    <row r="22" spans="1:189" x14ac:dyDescent="0.2">
      <c r="GB22" s="83"/>
    </row>
    <row r="23" spans="1:189" x14ac:dyDescent="0.2">
      <c r="GB23" s="83"/>
    </row>
    <row r="24" spans="1:189" x14ac:dyDescent="0.2">
      <c r="GB24" s="83"/>
    </row>
    <row r="25" spans="1:189" x14ac:dyDescent="0.2">
      <c r="GB25" s="83"/>
    </row>
    <row r="26" spans="1:189" x14ac:dyDescent="0.2">
      <c r="GF26" s="86"/>
      <c r="GG26" s="86"/>
    </row>
    <row r="27" spans="1:189" x14ac:dyDescent="0.2">
      <c r="GB27" s="83"/>
      <c r="GF27" s="86"/>
    </row>
    <row r="28" spans="1:189" x14ac:dyDescent="0.2">
      <c r="GB28" s="83"/>
      <c r="GF28" s="86"/>
    </row>
    <row r="29" spans="1:189" x14ac:dyDescent="0.2">
      <c r="A29" s="83"/>
      <c r="GA29" s="83"/>
      <c r="GB29" s="83"/>
      <c r="GF29" s="86"/>
    </row>
    <row r="30" spans="1:189" x14ac:dyDescent="0.2">
      <c r="GB30" s="83"/>
      <c r="GF30" s="86"/>
    </row>
    <row r="31" spans="1:189" x14ac:dyDescent="0.2">
      <c r="A31" s="83"/>
      <c r="GA31" s="83"/>
      <c r="GB31" s="83"/>
      <c r="GE31" s="83"/>
      <c r="GF31" s="88"/>
    </row>
    <row r="32" spans="1:189" x14ac:dyDescent="0.2">
      <c r="GF32" s="86"/>
    </row>
    <row r="33" spans="5:188" x14ac:dyDescent="0.2">
      <c r="GF33" s="86"/>
    </row>
    <row r="34" spans="5:188" x14ac:dyDescent="0.2">
      <c r="GB34" s="83"/>
      <c r="GF34" s="86"/>
    </row>
    <row r="35" spans="5:188" x14ac:dyDescent="0.2">
      <c r="GB35" s="83"/>
      <c r="GF35" s="86"/>
    </row>
    <row r="36" spans="5:188" x14ac:dyDescent="0.2">
      <c r="GB36" s="83"/>
      <c r="GF36" s="86"/>
    </row>
    <row r="37" spans="5:188" x14ac:dyDescent="0.2">
      <c r="GB37" s="83"/>
      <c r="GF37" s="86"/>
    </row>
    <row r="38" spans="5:188" x14ac:dyDescent="0.2">
      <c r="GB38" s="83"/>
      <c r="GF38" s="86"/>
    </row>
    <row r="39" spans="5:188" x14ac:dyDescent="0.2">
      <c r="GB39" s="83"/>
      <c r="GF39" s="86"/>
    </row>
    <row r="40" spans="5:188" x14ac:dyDescent="0.2">
      <c r="GB40" s="83"/>
      <c r="GF40" s="86"/>
    </row>
    <row r="48" spans="5:188" ht="13.5" x14ac:dyDescent="0.25">
      <c r="E48" s="84"/>
    </row>
    <row r="157" spans="1:183" x14ac:dyDescent="0.2">
      <c r="A157" s="83"/>
      <c r="GA157" s="83"/>
    </row>
    <row r="158" spans="1:183" x14ac:dyDescent="0.2">
      <c r="A158" s="83"/>
      <c r="GA158" s="83"/>
    </row>
    <row r="159" spans="1:183" x14ac:dyDescent="0.2">
      <c r="GA159" s="83"/>
    </row>
  </sheetData>
  <phoneticPr fontId="0" type="noConversion"/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0" r:id="rId4" name="Button 2">
              <controlPr defaultSize="0" print="0" autoFill="0" autoPict="0" macro="[0]!Etiquetar">
                <anchor moveWithCells="1" sizeWithCells="1">
                  <from>
                    <xdr:col>0</xdr:col>
                    <xdr:colOff>3248025</xdr:colOff>
                    <xdr:row>0</xdr:row>
                    <xdr:rowOff>142875</xdr:rowOff>
                  </from>
                  <to>
                    <xdr:col>0</xdr:col>
                    <xdr:colOff>3971925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5" name="Button 4">
              <controlPr defaultSize="0" print="0" autoFill="0" autoPict="0" macro="[0]!Inicio">
                <anchor moveWithCells="1" sizeWithCells="1">
                  <from>
                    <xdr:col>0</xdr:col>
                    <xdr:colOff>1733550</xdr:colOff>
                    <xdr:row>0</xdr:row>
                    <xdr:rowOff>142875</xdr:rowOff>
                  </from>
                  <to>
                    <xdr:col>0</xdr:col>
                    <xdr:colOff>3171825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3"/>
  <dimension ref="A1:IU55"/>
  <sheetViews>
    <sheetView workbookViewId="0">
      <selection activeCell="A9" sqref="A9"/>
    </sheetView>
  </sheetViews>
  <sheetFormatPr defaultColWidth="11.42578125" defaultRowHeight="11.25" x14ac:dyDescent="0.2"/>
  <cols>
    <col min="1" max="1" width="17.42578125" style="21" customWidth="1"/>
    <col min="2" max="2" width="14" style="21" customWidth="1"/>
    <col min="3" max="3" width="3.42578125" style="21" customWidth="1"/>
    <col min="4" max="4" width="27.5703125" style="21" bestFit="1" customWidth="1"/>
    <col min="5" max="13" width="7.7109375" style="21" bestFit="1" customWidth="1"/>
    <col min="14" max="24" width="5.140625" style="21" customWidth="1"/>
    <col min="25" max="16384" width="11.42578125" style="21"/>
  </cols>
  <sheetData>
    <row r="1" spans="1:255" x14ac:dyDescent="0.2">
      <c r="IU1" s="21" t="s">
        <v>755</v>
      </c>
    </row>
    <row r="2" spans="1:255" x14ac:dyDescent="0.2">
      <c r="IU2" s="21" t="s">
        <v>707</v>
      </c>
    </row>
    <row r="4" spans="1:255" ht="12" thickBot="1" x14ac:dyDescent="0.25">
      <c r="A4" s="22"/>
      <c r="B4" s="22"/>
      <c r="C4" s="22"/>
    </row>
    <row r="5" spans="1:255" ht="21.75" customHeight="1" thickBot="1" x14ac:dyDescent="0.25">
      <c r="A5" s="23" t="s">
        <v>670</v>
      </c>
      <c r="B5" s="24"/>
      <c r="C5" s="22"/>
      <c r="E5" s="89" t="s">
        <v>671</v>
      </c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1"/>
    </row>
    <row r="6" spans="1:255" ht="12" thickBot="1" x14ac:dyDescent="0.25">
      <c r="B6" s="25"/>
      <c r="D6" s="22"/>
      <c r="E6" s="26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8"/>
    </row>
    <row r="7" spans="1:255" ht="21.75" customHeight="1" thickBot="1" x14ac:dyDescent="0.25">
      <c r="A7" s="29" t="s">
        <v>672</v>
      </c>
      <c r="B7" s="30"/>
      <c r="D7" s="31" t="s">
        <v>673</v>
      </c>
      <c r="E7" s="32">
        <v>1</v>
      </c>
      <c r="F7" s="33">
        <v>2</v>
      </c>
      <c r="G7" s="33">
        <v>3</v>
      </c>
      <c r="H7" s="33">
        <v>4</v>
      </c>
      <c r="I7" s="33">
        <v>5</v>
      </c>
      <c r="J7" s="33">
        <v>6</v>
      </c>
      <c r="K7" s="33">
        <v>7</v>
      </c>
      <c r="L7" s="33">
        <v>8</v>
      </c>
      <c r="M7" s="33">
        <v>9</v>
      </c>
      <c r="N7" s="33">
        <v>10</v>
      </c>
      <c r="O7" s="33">
        <v>11</v>
      </c>
      <c r="P7" s="33">
        <v>12</v>
      </c>
      <c r="Q7" s="33">
        <v>13</v>
      </c>
      <c r="R7" s="33">
        <v>14</v>
      </c>
      <c r="S7" s="33">
        <v>15</v>
      </c>
      <c r="T7" s="33">
        <v>16</v>
      </c>
      <c r="U7" s="33">
        <v>17</v>
      </c>
      <c r="V7" s="33">
        <v>18</v>
      </c>
      <c r="W7" s="33">
        <v>19</v>
      </c>
      <c r="X7" s="34">
        <v>20</v>
      </c>
    </row>
    <row r="8" spans="1:255" x14ac:dyDescent="0.2">
      <c r="A8" s="21" t="s">
        <v>674</v>
      </c>
      <c r="B8" s="35"/>
      <c r="D8" s="36" t="s">
        <v>12</v>
      </c>
      <c r="E8" s="37"/>
      <c r="F8" s="38"/>
      <c r="G8" s="38"/>
      <c r="H8" s="38"/>
      <c r="I8" s="38"/>
      <c r="J8" s="38"/>
      <c r="K8" s="38"/>
      <c r="L8" s="38"/>
      <c r="M8" s="38"/>
      <c r="N8" s="39"/>
      <c r="O8" s="40"/>
      <c r="P8" s="39"/>
      <c r="Q8" s="39"/>
      <c r="R8" s="39"/>
      <c r="S8" s="39"/>
      <c r="T8" s="39"/>
      <c r="U8" s="39"/>
      <c r="V8" s="39"/>
      <c r="W8" s="39"/>
      <c r="X8" s="41"/>
    </row>
    <row r="9" spans="1:255" x14ac:dyDescent="0.2">
      <c r="B9" s="35"/>
      <c r="D9" s="36" t="s">
        <v>16</v>
      </c>
      <c r="E9" s="42"/>
      <c r="F9" s="43"/>
      <c r="G9" s="43"/>
      <c r="H9" s="43"/>
      <c r="I9" s="43"/>
      <c r="J9" s="43"/>
      <c r="K9" s="43"/>
      <c r="L9" s="43"/>
      <c r="M9" s="43"/>
      <c r="N9" s="44"/>
      <c r="O9" s="45"/>
      <c r="P9" s="44"/>
      <c r="Q9" s="44"/>
      <c r="R9" s="44"/>
      <c r="S9" s="44"/>
      <c r="T9" s="44"/>
      <c r="U9" s="44"/>
      <c r="V9" s="44"/>
      <c r="W9" s="44"/>
      <c r="X9" s="46"/>
    </row>
    <row r="10" spans="1:255" x14ac:dyDescent="0.2">
      <c r="B10" s="35"/>
      <c r="D10" s="36" t="s">
        <v>20</v>
      </c>
      <c r="E10" s="42"/>
      <c r="F10" s="43"/>
      <c r="G10" s="43"/>
      <c r="H10" s="43"/>
      <c r="I10" s="43"/>
      <c r="J10" s="43"/>
      <c r="K10" s="43"/>
      <c r="L10" s="43"/>
      <c r="M10" s="43"/>
      <c r="N10" s="44"/>
      <c r="O10" s="45"/>
      <c r="P10" s="44"/>
      <c r="Q10" s="44"/>
      <c r="R10" s="44"/>
      <c r="S10" s="44"/>
      <c r="T10" s="44"/>
      <c r="U10" s="44"/>
      <c r="V10" s="44"/>
      <c r="W10" s="44"/>
      <c r="X10" s="46"/>
      <c r="IU10" s="21">
        <v>0</v>
      </c>
    </row>
    <row r="11" spans="1:255" x14ac:dyDescent="0.2">
      <c r="B11" s="35"/>
      <c r="D11" s="36" t="s">
        <v>24</v>
      </c>
      <c r="E11" s="42"/>
      <c r="F11" s="43"/>
      <c r="G11" s="43"/>
      <c r="H11" s="43"/>
      <c r="I11" s="43"/>
      <c r="J11" s="43"/>
      <c r="K11" s="43"/>
      <c r="L11" s="43"/>
      <c r="M11" s="43"/>
      <c r="N11" s="44"/>
      <c r="O11" s="45"/>
      <c r="P11" s="44"/>
      <c r="Q11" s="44"/>
      <c r="R11" s="44"/>
      <c r="S11" s="44"/>
      <c r="T11" s="44"/>
      <c r="U11" s="44"/>
      <c r="V11" s="44"/>
      <c r="W11" s="44"/>
      <c r="X11" s="46"/>
    </row>
    <row r="12" spans="1:255" x14ac:dyDescent="0.2">
      <c r="B12" s="35"/>
      <c r="D12" s="36" t="s">
        <v>29</v>
      </c>
      <c r="E12" s="42"/>
      <c r="F12" s="43"/>
      <c r="G12" s="43"/>
      <c r="H12" s="43"/>
      <c r="I12" s="43"/>
      <c r="J12" s="43"/>
      <c r="K12" s="43"/>
      <c r="L12" s="43"/>
      <c r="M12" s="43"/>
      <c r="N12" s="44"/>
      <c r="O12" s="45"/>
      <c r="P12" s="44"/>
      <c r="Q12" s="44"/>
      <c r="R12" s="44"/>
      <c r="S12" s="44"/>
      <c r="T12" s="44"/>
      <c r="U12" s="44"/>
      <c r="V12" s="44"/>
      <c r="W12" s="44"/>
      <c r="X12" s="46"/>
    </row>
    <row r="13" spans="1:255" x14ac:dyDescent="0.2">
      <c r="B13" s="35"/>
      <c r="D13" s="36" t="s">
        <v>36</v>
      </c>
      <c r="E13" s="42"/>
      <c r="F13" s="43"/>
      <c r="G13" s="43"/>
      <c r="H13" s="43"/>
      <c r="I13" s="43"/>
      <c r="J13" s="43"/>
      <c r="K13" s="43"/>
      <c r="L13" s="43"/>
      <c r="M13" s="43"/>
      <c r="N13" s="44"/>
      <c r="O13" s="45"/>
      <c r="P13" s="44"/>
      <c r="Q13" s="44"/>
      <c r="R13" s="44"/>
      <c r="S13" s="44"/>
      <c r="T13" s="44"/>
      <c r="U13" s="44"/>
      <c r="V13" s="44"/>
      <c r="W13" s="44"/>
      <c r="X13" s="46"/>
    </row>
    <row r="14" spans="1:255" x14ac:dyDescent="0.2">
      <c r="B14" s="35"/>
      <c r="D14" s="36" t="s">
        <v>41</v>
      </c>
      <c r="E14" s="42"/>
      <c r="F14" s="43"/>
      <c r="G14" s="43"/>
      <c r="H14" s="43"/>
      <c r="I14" s="43"/>
      <c r="J14" s="43"/>
      <c r="K14" s="43"/>
      <c r="L14" s="43"/>
      <c r="M14" s="43"/>
      <c r="N14" s="44"/>
      <c r="O14" s="45"/>
      <c r="P14" s="44"/>
      <c r="Q14" s="44"/>
      <c r="R14" s="44"/>
      <c r="S14" s="44"/>
      <c r="T14" s="44"/>
      <c r="U14" s="44"/>
      <c r="V14" s="44"/>
      <c r="W14" s="44"/>
      <c r="X14" s="46"/>
    </row>
    <row r="15" spans="1:255" x14ac:dyDescent="0.2">
      <c r="B15" s="35"/>
      <c r="D15" s="36" t="s">
        <v>45</v>
      </c>
      <c r="E15" s="42"/>
      <c r="F15" s="43"/>
      <c r="G15" s="43"/>
      <c r="H15" s="43"/>
      <c r="I15" s="43"/>
      <c r="J15" s="43"/>
      <c r="K15" s="43"/>
      <c r="L15" s="43"/>
      <c r="M15" s="43"/>
      <c r="N15" s="44"/>
      <c r="O15" s="45"/>
      <c r="P15" s="44"/>
      <c r="Q15" s="44"/>
      <c r="R15" s="44"/>
      <c r="S15" s="44"/>
      <c r="T15" s="44"/>
      <c r="U15" s="44"/>
      <c r="V15" s="44"/>
      <c r="W15" s="44"/>
      <c r="X15" s="46"/>
    </row>
    <row r="16" spans="1:255" x14ac:dyDescent="0.2">
      <c r="B16" s="47"/>
      <c r="D16" s="36" t="s">
        <v>49</v>
      </c>
      <c r="E16" s="42"/>
      <c r="F16" s="43"/>
      <c r="G16" s="43"/>
      <c r="H16" s="43"/>
      <c r="I16" s="43"/>
      <c r="J16" s="43"/>
      <c r="K16" s="43"/>
      <c r="L16" s="43"/>
      <c r="M16" s="43"/>
      <c r="N16" s="44"/>
      <c r="O16" s="45"/>
      <c r="P16" s="44"/>
      <c r="Q16" s="44"/>
      <c r="R16" s="44"/>
      <c r="S16" s="44"/>
      <c r="T16" s="44"/>
      <c r="U16" s="44"/>
      <c r="V16" s="44"/>
      <c r="W16" s="44"/>
      <c r="X16" s="46"/>
    </row>
    <row r="17" spans="2:24" x14ac:dyDescent="0.2">
      <c r="B17" s="47"/>
      <c r="D17" s="36" t="s">
        <v>55</v>
      </c>
      <c r="E17" s="42"/>
      <c r="F17" s="43"/>
      <c r="G17" s="43"/>
      <c r="H17" s="43"/>
      <c r="I17" s="43"/>
      <c r="J17" s="43"/>
      <c r="K17" s="43"/>
      <c r="L17" s="43"/>
      <c r="M17" s="43"/>
      <c r="N17" s="44"/>
      <c r="O17" s="45"/>
      <c r="P17" s="44"/>
      <c r="Q17" s="44"/>
      <c r="R17" s="44"/>
      <c r="S17" s="44"/>
      <c r="T17" s="44"/>
      <c r="U17" s="44"/>
      <c r="V17" s="44"/>
      <c r="W17" s="44"/>
      <c r="X17" s="46"/>
    </row>
    <row r="18" spans="2:24" x14ac:dyDescent="0.2">
      <c r="B18" s="47"/>
      <c r="D18" s="36" t="s">
        <v>59</v>
      </c>
      <c r="E18" s="42"/>
      <c r="F18" s="43"/>
      <c r="G18" s="43"/>
      <c r="H18" s="43"/>
      <c r="I18" s="43"/>
      <c r="J18" s="43"/>
      <c r="K18" s="43"/>
      <c r="L18" s="43"/>
      <c r="M18" s="43"/>
      <c r="N18" s="44"/>
      <c r="O18" s="45"/>
      <c r="P18" s="44"/>
      <c r="Q18" s="44"/>
      <c r="R18" s="44"/>
      <c r="S18" s="44"/>
      <c r="T18" s="44"/>
      <c r="U18" s="44"/>
      <c r="V18" s="44"/>
      <c r="W18" s="44"/>
      <c r="X18" s="46"/>
    </row>
    <row r="19" spans="2:24" x14ac:dyDescent="0.2">
      <c r="B19" s="47"/>
      <c r="D19" s="36" t="s">
        <v>61</v>
      </c>
      <c r="E19" s="42"/>
      <c r="F19" s="43"/>
      <c r="G19" s="43"/>
      <c r="H19" s="43"/>
      <c r="I19" s="43"/>
      <c r="J19" s="43"/>
      <c r="K19" s="43"/>
      <c r="L19" s="43"/>
      <c r="M19" s="43"/>
      <c r="N19" s="44"/>
      <c r="O19" s="45"/>
      <c r="P19" s="44"/>
      <c r="Q19" s="44"/>
      <c r="R19" s="44"/>
      <c r="S19" s="44"/>
      <c r="T19" s="44"/>
      <c r="U19" s="44"/>
      <c r="V19" s="44"/>
      <c r="W19" s="44"/>
      <c r="X19" s="46"/>
    </row>
    <row r="20" spans="2:24" x14ac:dyDescent="0.2">
      <c r="B20" s="47"/>
      <c r="D20" s="36" t="s">
        <v>64</v>
      </c>
      <c r="E20" s="42"/>
      <c r="F20" s="43"/>
      <c r="G20" s="43"/>
      <c r="H20" s="43"/>
      <c r="I20" s="43"/>
      <c r="J20" s="43"/>
      <c r="K20" s="43"/>
      <c r="L20" s="43"/>
      <c r="M20" s="43"/>
      <c r="N20" s="44"/>
      <c r="O20" s="45"/>
      <c r="P20" s="44"/>
      <c r="Q20" s="44"/>
      <c r="R20" s="44"/>
      <c r="S20" s="44"/>
      <c r="T20" s="44"/>
      <c r="U20" s="44"/>
      <c r="V20" s="44"/>
      <c r="W20" s="44"/>
      <c r="X20" s="46"/>
    </row>
    <row r="21" spans="2:24" x14ac:dyDescent="0.2">
      <c r="B21" s="47"/>
      <c r="D21" s="36" t="s">
        <v>67</v>
      </c>
      <c r="E21" s="42"/>
      <c r="F21" s="43"/>
      <c r="G21" s="43"/>
      <c r="H21" s="43"/>
      <c r="I21" s="43"/>
      <c r="J21" s="43"/>
      <c r="K21" s="43"/>
      <c r="L21" s="43"/>
      <c r="M21" s="43"/>
      <c r="N21" s="44"/>
      <c r="O21" s="45"/>
      <c r="P21" s="44"/>
      <c r="Q21" s="44"/>
      <c r="R21" s="44"/>
      <c r="S21" s="44"/>
      <c r="T21" s="44"/>
      <c r="U21" s="44"/>
      <c r="V21" s="44"/>
      <c r="W21" s="44"/>
      <c r="X21" s="46"/>
    </row>
    <row r="22" spans="2:24" x14ac:dyDescent="0.2">
      <c r="B22" s="47"/>
      <c r="D22" s="36" t="s">
        <v>71</v>
      </c>
      <c r="E22" s="42"/>
      <c r="F22" s="43"/>
      <c r="G22" s="43"/>
      <c r="H22" s="43"/>
      <c r="I22" s="43"/>
      <c r="J22" s="43"/>
      <c r="K22" s="43"/>
      <c r="L22" s="43"/>
      <c r="M22" s="43"/>
      <c r="N22" s="44"/>
      <c r="O22" s="45"/>
      <c r="P22" s="44"/>
      <c r="Q22" s="44"/>
      <c r="R22" s="44"/>
      <c r="S22" s="44"/>
      <c r="T22" s="44"/>
      <c r="U22" s="44"/>
      <c r="V22" s="44"/>
      <c r="W22" s="44"/>
      <c r="X22" s="46"/>
    </row>
    <row r="23" spans="2:24" x14ac:dyDescent="0.2">
      <c r="B23" s="47"/>
      <c r="D23" s="36" t="s">
        <v>75</v>
      </c>
      <c r="E23" s="42"/>
      <c r="F23" s="43"/>
      <c r="G23" s="43"/>
      <c r="H23" s="43"/>
      <c r="I23" s="43"/>
      <c r="J23" s="43"/>
      <c r="K23" s="43"/>
      <c r="L23" s="43"/>
      <c r="M23" s="43"/>
      <c r="N23" s="44"/>
      <c r="O23" s="45"/>
      <c r="P23" s="44"/>
      <c r="Q23" s="44"/>
      <c r="R23" s="44"/>
      <c r="S23" s="44"/>
      <c r="T23" s="44"/>
      <c r="U23" s="44"/>
      <c r="V23" s="44"/>
      <c r="W23" s="44"/>
      <c r="X23" s="46"/>
    </row>
    <row r="24" spans="2:24" x14ac:dyDescent="0.2">
      <c r="B24" s="47"/>
      <c r="D24" s="36" t="s">
        <v>78</v>
      </c>
      <c r="E24" s="42"/>
      <c r="F24" s="43"/>
      <c r="G24" s="43"/>
      <c r="H24" s="43"/>
      <c r="I24" s="43"/>
      <c r="J24" s="43"/>
      <c r="K24" s="43"/>
      <c r="L24" s="43"/>
      <c r="M24" s="43"/>
      <c r="N24" s="44"/>
      <c r="O24" s="45"/>
      <c r="P24" s="44"/>
      <c r="Q24" s="44"/>
      <c r="R24" s="44"/>
      <c r="S24" s="44"/>
      <c r="T24" s="44"/>
      <c r="U24" s="44"/>
      <c r="V24" s="44"/>
      <c r="W24" s="44"/>
      <c r="X24" s="46"/>
    </row>
    <row r="25" spans="2:24" x14ac:dyDescent="0.2">
      <c r="B25" s="47"/>
      <c r="D25" s="36" t="s">
        <v>80</v>
      </c>
      <c r="E25" s="42"/>
      <c r="F25" s="43"/>
      <c r="G25" s="43"/>
      <c r="H25" s="43"/>
      <c r="I25" s="43"/>
      <c r="J25" s="43"/>
      <c r="K25" s="43"/>
      <c r="L25" s="43"/>
      <c r="M25" s="43"/>
      <c r="N25" s="44"/>
      <c r="O25" s="45"/>
      <c r="P25" s="44"/>
      <c r="Q25" s="44"/>
      <c r="R25" s="44"/>
      <c r="S25" s="44"/>
      <c r="T25" s="44"/>
      <c r="U25" s="44"/>
      <c r="V25" s="44"/>
      <c r="W25" s="44"/>
      <c r="X25" s="46"/>
    </row>
    <row r="26" spans="2:24" ht="12" thickBot="1" x14ac:dyDescent="0.25">
      <c r="B26" s="48"/>
      <c r="D26" s="36" t="s">
        <v>85</v>
      </c>
      <c r="E26" s="42"/>
      <c r="F26" s="43"/>
      <c r="G26" s="43"/>
      <c r="H26" s="43"/>
      <c r="I26" s="43"/>
      <c r="J26" s="43"/>
      <c r="K26" s="43"/>
      <c r="L26" s="43"/>
      <c r="M26" s="43"/>
      <c r="N26" s="44"/>
      <c r="O26" s="45"/>
      <c r="P26" s="44"/>
      <c r="Q26" s="44"/>
      <c r="R26" s="44"/>
      <c r="S26" s="44"/>
      <c r="T26" s="44"/>
      <c r="U26" s="44"/>
      <c r="V26" s="44"/>
      <c r="W26" s="44"/>
      <c r="X26" s="46"/>
    </row>
    <row r="27" spans="2:24" x14ac:dyDescent="0.2">
      <c r="D27" s="36" t="s">
        <v>91</v>
      </c>
      <c r="E27" s="42"/>
      <c r="F27" s="43"/>
      <c r="G27" s="43"/>
      <c r="H27" s="43"/>
      <c r="I27" s="43"/>
      <c r="J27" s="43"/>
      <c r="K27" s="43"/>
      <c r="L27" s="43"/>
      <c r="M27" s="43"/>
      <c r="N27" s="44"/>
      <c r="O27" s="45"/>
      <c r="P27" s="44"/>
      <c r="Q27" s="44"/>
      <c r="R27" s="44"/>
      <c r="S27" s="44"/>
      <c r="T27" s="44"/>
      <c r="U27" s="44"/>
      <c r="V27" s="44"/>
      <c r="W27" s="44"/>
      <c r="X27" s="46"/>
    </row>
    <row r="28" spans="2:24" x14ac:dyDescent="0.2">
      <c r="D28" s="36" t="s">
        <v>96</v>
      </c>
      <c r="E28" s="42"/>
      <c r="F28" s="43"/>
      <c r="G28" s="43"/>
      <c r="H28" s="43"/>
      <c r="I28" s="43"/>
      <c r="J28" s="43"/>
      <c r="K28" s="43"/>
      <c r="L28" s="43"/>
      <c r="M28" s="43"/>
      <c r="N28" s="44"/>
      <c r="O28" s="45"/>
      <c r="P28" s="44"/>
      <c r="Q28" s="44"/>
      <c r="R28" s="44"/>
      <c r="S28" s="44"/>
      <c r="T28" s="44"/>
      <c r="U28" s="44"/>
      <c r="V28" s="44"/>
      <c r="W28" s="44"/>
      <c r="X28" s="46"/>
    </row>
    <row r="29" spans="2:24" x14ac:dyDescent="0.2">
      <c r="D29" s="36" t="s">
        <v>98</v>
      </c>
      <c r="E29" s="42"/>
      <c r="F29" s="43"/>
      <c r="G29" s="43"/>
      <c r="H29" s="43"/>
      <c r="I29" s="43"/>
      <c r="J29" s="43"/>
      <c r="K29" s="43"/>
      <c r="L29" s="43"/>
      <c r="M29" s="43"/>
      <c r="N29" s="44"/>
      <c r="O29" s="45"/>
      <c r="P29" s="44"/>
      <c r="Q29" s="44"/>
      <c r="R29" s="44"/>
      <c r="S29" s="44"/>
      <c r="T29" s="44"/>
      <c r="U29" s="44"/>
      <c r="V29" s="44"/>
      <c r="W29" s="44"/>
      <c r="X29" s="46"/>
    </row>
    <row r="30" spans="2:24" x14ac:dyDescent="0.2">
      <c r="D30" s="36" t="s">
        <v>101</v>
      </c>
      <c r="E30" s="42"/>
      <c r="F30" s="43"/>
      <c r="G30" s="43"/>
      <c r="H30" s="43"/>
      <c r="I30" s="43"/>
      <c r="J30" s="43"/>
      <c r="K30" s="43"/>
      <c r="L30" s="43"/>
      <c r="M30" s="43"/>
      <c r="N30" s="44"/>
      <c r="O30" s="45"/>
      <c r="P30" s="44"/>
      <c r="Q30" s="44"/>
      <c r="R30" s="44"/>
      <c r="S30" s="44"/>
      <c r="T30" s="44"/>
      <c r="U30" s="44"/>
      <c r="V30" s="44"/>
      <c r="W30" s="44"/>
      <c r="X30" s="46"/>
    </row>
    <row r="31" spans="2:24" x14ac:dyDescent="0.2">
      <c r="D31" s="36" t="s">
        <v>107</v>
      </c>
      <c r="E31" s="42"/>
      <c r="F31" s="43"/>
      <c r="G31" s="43"/>
      <c r="H31" s="43"/>
      <c r="I31" s="43"/>
      <c r="J31" s="43"/>
      <c r="K31" s="43"/>
      <c r="L31" s="43"/>
      <c r="M31" s="43"/>
      <c r="N31" s="44"/>
      <c r="O31" s="45"/>
      <c r="P31" s="44"/>
      <c r="Q31" s="44"/>
      <c r="R31" s="44"/>
      <c r="S31" s="44"/>
      <c r="T31" s="44"/>
      <c r="U31" s="44"/>
      <c r="V31" s="44"/>
      <c r="W31" s="44"/>
      <c r="X31" s="46"/>
    </row>
    <row r="32" spans="2:24" x14ac:dyDescent="0.2">
      <c r="D32" s="36" t="s">
        <v>112</v>
      </c>
      <c r="E32" s="42"/>
      <c r="F32" s="43"/>
      <c r="G32" s="43"/>
      <c r="H32" s="43"/>
      <c r="I32" s="43"/>
      <c r="J32" s="43"/>
      <c r="K32" s="43"/>
      <c r="L32" s="43"/>
      <c r="M32" s="43"/>
      <c r="N32" s="44"/>
      <c r="O32" s="45"/>
      <c r="P32" s="44"/>
      <c r="Q32" s="44"/>
      <c r="R32" s="44"/>
      <c r="S32" s="44"/>
      <c r="T32" s="44"/>
      <c r="U32" s="44"/>
      <c r="V32" s="44"/>
      <c r="W32" s="44"/>
      <c r="X32" s="46"/>
    </row>
    <row r="33" spans="4:24" x14ac:dyDescent="0.2">
      <c r="D33" s="36" t="s">
        <v>118</v>
      </c>
      <c r="E33" s="42"/>
      <c r="F33" s="43"/>
      <c r="G33" s="43"/>
      <c r="H33" s="43"/>
      <c r="I33" s="43"/>
      <c r="J33" s="43"/>
      <c r="K33" s="43"/>
      <c r="L33" s="43"/>
      <c r="M33" s="43"/>
      <c r="N33" s="44"/>
      <c r="O33" s="45"/>
      <c r="P33" s="44"/>
      <c r="Q33" s="44"/>
      <c r="R33" s="44"/>
      <c r="S33" s="44"/>
      <c r="T33" s="44"/>
      <c r="U33" s="44"/>
      <c r="V33" s="44"/>
      <c r="W33" s="44"/>
      <c r="X33" s="46"/>
    </row>
    <row r="34" spans="4:24" x14ac:dyDescent="0.2">
      <c r="D34" s="36" t="s">
        <v>122</v>
      </c>
      <c r="E34" s="42"/>
      <c r="F34" s="43"/>
      <c r="G34" s="43"/>
      <c r="H34" s="43"/>
      <c r="I34" s="43"/>
      <c r="J34" s="43"/>
      <c r="K34" s="43"/>
      <c r="L34" s="43"/>
      <c r="M34" s="43"/>
      <c r="N34" s="44"/>
      <c r="O34" s="45"/>
      <c r="P34" s="44"/>
      <c r="Q34" s="44"/>
      <c r="R34" s="44"/>
      <c r="S34" s="44"/>
      <c r="T34" s="44"/>
      <c r="U34" s="44"/>
      <c r="V34" s="44"/>
      <c r="W34" s="44"/>
      <c r="X34" s="46"/>
    </row>
    <row r="35" spans="4:24" x14ac:dyDescent="0.2">
      <c r="D35" s="36" t="s">
        <v>125</v>
      </c>
      <c r="E35" s="42"/>
      <c r="F35" s="43"/>
      <c r="G35" s="43"/>
      <c r="H35" s="43"/>
      <c r="I35" s="43"/>
      <c r="J35" s="43"/>
      <c r="K35" s="43"/>
      <c r="L35" s="43"/>
      <c r="M35" s="43"/>
      <c r="N35" s="44"/>
      <c r="O35" s="45"/>
      <c r="P35" s="44"/>
      <c r="Q35" s="44"/>
      <c r="R35" s="44"/>
      <c r="S35" s="44"/>
      <c r="T35" s="44"/>
      <c r="U35" s="44"/>
      <c r="V35" s="44"/>
      <c r="W35" s="44"/>
      <c r="X35" s="46"/>
    </row>
    <row r="36" spans="4:24" x14ac:dyDescent="0.2">
      <c r="D36" s="36" t="s">
        <v>132</v>
      </c>
      <c r="E36" s="42"/>
      <c r="F36" s="43"/>
      <c r="G36" s="43"/>
      <c r="H36" s="43"/>
      <c r="I36" s="43"/>
      <c r="J36" s="43"/>
      <c r="K36" s="43"/>
      <c r="L36" s="43"/>
      <c r="M36" s="43"/>
      <c r="N36" s="44"/>
      <c r="O36" s="45"/>
      <c r="P36" s="44"/>
      <c r="Q36" s="44"/>
      <c r="R36" s="44"/>
      <c r="S36" s="44"/>
      <c r="T36" s="44"/>
      <c r="U36" s="44"/>
      <c r="V36" s="44"/>
      <c r="W36" s="44"/>
      <c r="X36" s="46"/>
    </row>
    <row r="37" spans="4:24" x14ac:dyDescent="0.2">
      <c r="D37" s="36" t="s">
        <v>135</v>
      </c>
      <c r="E37" s="42"/>
      <c r="F37" s="43"/>
      <c r="G37" s="43"/>
      <c r="H37" s="43"/>
      <c r="I37" s="43"/>
      <c r="J37" s="43"/>
      <c r="K37" s="43"/>
      <c r="L37" s="43"/>
      <c r="M37" s="43"/>
      <c r="N37" s="44"/>
      <c r="O37" s="45"/>
      <c r="P37" s="44"/>
      <c r="Q37" s="44"/>
      <c r="R37" s="44"/>
      <c r="S37" s="44"/>
      <c r="T37" s="44"/>
      <c r="U37" s="44"/>
      <c r="V37" s="44"/>
      <c r="W37" s="44"/>
      <c r="X37" s="46"/>
    </row>
    <row r="38" spans="4:24" x14ac:dyDescent="0.2">
      <c r="D38" s="36" t="s">
        <v>82</v>
      </c>
      <c r="E38" s="42"/>
      <c r="F38" s="43"/>
      <c r="G38" s="43"/>
      <c r="H38" s="43"/>
      <c r="I38" s="43"/>
      <c r="J38" s="43"/>
      <c r="K38" s="43"/>
      <c r="L38" s="43"/>
      <c r="M38" s="43"/>
      <c r="N38" s="44"/>
      <c r="O38" s="45"/>
      <c r="P38" s="44"/>
      <c r="Q38" s="44"/>
      <c r="R38" s="44"/>
      <c r="S38" s="44"/>
      <c r="T38" s="44"/>
      <c r="U38" s="44"/>
      <c r="V38" s="44"/>
      <c r="W38" s="44"/>
      <c r="X38" s="46"/>
    </row>
    <row r="39" spans="4:24" x14ac:dyDescent="0.2">
      <c r="D39" s="36" t="s">
        <v>144</v>
      </c>
      <c r="E39" s="42"/>
      <c r="F39" s="43"/>
      <c r="G39" s="43"/>
      <c r="H39" s="43"/>
      <c r="I39" s="43"/>
      <c r="J39" s="43"/>
      <c r="K39" s="43"/>
      <c r="L39" s="43"/>
      <c r="M39" s="43"/>
      <c r="N39" s="44"/>
      <c r="O39" s="45"/>
      <c r="P39" s="44"/>
      <c r="Q39" s="44"/>
      <c r="R39" s="44"/>
      <c r="S39" s="44"/>
      <c r="T39" s="44"/>
      <c r="U39" s="44"/>
      <c r="V39" s="44"/>
      <c r="W39" s="44"/>
      <c r="X39" s="46"/>
    </row>
    <row r="40" spans="4:24" x14ac:dyDescent="0.2">
      <c r="D40" s="36" t="s">
        <v>150</v>
      </c>
      <c r="E40" s="42"/>
      <c r="F40" s="43"/>
      <c r="G40" s="43"/>
      <c r="H40" s="43"/>
      <c r="I40" s="43"/>
      <c r="J40" s="43"/>
      <c r="K40" s="43"/>
      <c r="L40" s="43"/>
      <c r="M40" s="43"/>
      <c r="N40" s="44"/>
      <c r="O40" s="45"/>
      <c r="P40" s="44"/>
      <c r="Q40" s="44"/>
      <c r="R40" s="44"/>
      <c r="S40" s="44"/>
      <c r="T40" s="44"/>
      <c r="U40" s="44"/>
      <c r="V40" s="44"/>
      <c r="W40" s="44"/>
      <c r="X40" s="46"/>
    </row>
    <row r="41" spans="4:24" x14ac:dyDescent="0.2">
      <c r="D41" s="36" t="s">
        <v>153</v>
      </c>
      <c r="E41" s="42"/>
      <c r="F41" s="43"/>
      <c r="G41" s="43"/>
      <c r="H41" s="43"/>
      <c r="I41" s="43"/>
      <c r="J41" s="43"/>
      <c r="K41" s="43"/>
      <c r="L41" s="43"/>
      <c r="M41" s="43"/>
      <c r="N41" s="44"/>
      <c r="O41" s="45"/>
      <c r="P41" s="44"/>
      <c r="Q41" s="44"/>
      <c r="R41" s="44"/>
      <c r="S41" s="44"/>
      <c r="T41" s="44"/>
      <c r="U41" s="44"/>
      <c r="V41" s="44"/>
      <c r="W41" s="44"/>
      <c r="X41" s="46"/>
    </row>
    <row r="42" spans="4:24" x14ac:dyDescent="0.2">
      <c r="D42" s="36" t="s">
        <v>744</v>
      </c>
      <c r="E42" s="42"/>
      <c r="F42" s="43"/>
      <c r="G42" s="43"/>
      <c r="H42" s="43"/>
      <c r="I42" s="43"/>
      <c r="J42" s="43"/>
      <c r="K42" s="43"/>
      <c r="L42" s="43"/>
      <c r="M42" s="43"/>
      <c r="N42" s="44"/>
      <c r="O42" s="45"/>
      <c r="P42" s="44"/>
      <c r="Q42" s="44"/>
      <c r="R42" s="44"/>
      <c r="S42" s="44"/>
      <c r="T42" s="44"/>
      <c r="U42" s="44"/>
      <c r="V42" s="44"/>
      <c r="W42" s="44"/>
      <c r="X42" s="46"/>
    </row>
    <row r="43" spans="4:24" x14ac:dyDescent="0.2">
      <c r="D43" s="36" t="s">
        <v>159</v>
      </c>
      <c r="E43" s="42"/>
      <c r="F43" s="43"/>
      <c r="G43" s="43"/>
      <c r="H43" s="43"/>
      <c r="I43" s="43"/>
      <c r="J43" s="43"/>
      <c r="K43" s="43"/>
      <c r="L43" s="43"/>
      <c r="M43" s="43"/>
      <c r="N43" s="44"/>
      <c r="O43" s="45"/>
      <c r="P43" s="44"/>
      <c r="Q43" s="44"/>
      <c r="R43" s="44"/>
      <c r="S43" s="44"/>
      <c r="T43" s="44"/>
      <c r="U43" s="44"/>
      <c r="V43" s="44"/>
      <c r="W43" s="44"/>
      <c r="X43" s="46"/>
    </row>
    <row r="44" spans="4:24" x14ac:dyDescent="0.2">
      <c r="D44" s="36" t="s">
        <v>163</v>
      </c>
      <c r="E44" s="42"/>
      <c r="F44" s="43"/>
      <c r="G44" s="43"/>
      <c r="H44" s="43"/>
      <c r="I44" s="43"/>
      <c r="J44" s="43"/>
      <c r="K44" s="43"/>
      <c r="L44" s="43"/>
      <c r="M44" s="43"/>
      <c r="N44" s="44"/>
      <c r="O44" s="45"/>
      <c r="P44" s="44"/>
      <c r="Q44" s="44"/>
      <c r="R44" s="44"/>
      <c r="S44" s="44"/>
      <c r="T44" s="44"/>
      <c r="U44" s="44"/>
      <c r="V44" s="44"/>
      <c r="W44" s="44"/>
      <c r="X44" s="46"/>
    </row>
    <row r="45" spans="4:24" x14ac:dyDescent="0.2">
      <c r="D45" s="36" t="s">
        <v>168</v>
      </c>
      <c r="E45" s="42"/>
      <c r="F45" s="43"/>
      <c r="G45" s="43"/>
      <c r="H45" s="43"/>
      <c r="I45" s="43"/>
      <c r="J45" s="43"/>
      <c r="K45" s="43"/>
      <c r="L45" s="43"/>
      <c r="M45" s="43"/>
      <c r="N45" s="44"/>
      <c r="O45" s="45"/>
      <c r="P45" s="44"/>
      <c r="Q45" s="44"/>
      <c r="R45" s="44"/>
      <c r="S45" s="44"/>
      <c r="T45" s="44"/>
      <c r="U45" s="44"/>
      <c r="V45" s="44"/>
      <c r="W45" s="44"/>
      <c r="X45" s="46"/>
    </row>
    <row r="46" spans="4:24" x14ac:dyDescent="0.2">
      <c r="D46" s="36" t="s">
        <v>170</v>
      </c>
      <c r="E46" s="42"/>
      <c r="F46" s="43"/>
      <c r="G46" s="43"/>
      <c r="H46" s="43"/>
      <c r="I46" s="43"/>
      <c r="J46" s="43"/>
      <c r="K46" s="43"/>
      <c r="L46" s="43"/>
      <c r="M46" s="43"/>
      <c r="N46" s="44"/>
      <c r="O46" s="45"/>
      <c r="P46" s="44"/>
      <c r="Q46" s="44"/>
      <c r="R46" s="44"/>
      <c r="S46" s="44"/>
      <c r="T46" s="44"/>
      <c r="U46" s="44"/>
      <c r="V46" s="44"/>
      <c r="W46" s="44"/>
      <c r="X46" s="46"/>
    </row>
    <row r="47" spans="4:24" x14ac:dyDescent="0.2">
      <c r="D47" s="36" t="s">
        <v>175</v>
      </c>
      <c r="E47" s="42"/>
      <c r="F47" s="43"/>
      <c r="G47" s="43"/>
      <c r="H47" s="43"/>
      <c r="I47" s="43"/>
      <c r="J47" s="43"/>
      <c r="K47" s="43"/>
      <c r="L47" s="43"/>
      <c r="M47" s="43"/>
      <c r="N47" s="44"/>
      <c r="O47" s="45"/>
      <c r="P47" s="44"/>
      <c r="Q47" s="44"/>
      <c r="R47" s="44"/>
      <c r="S47" s="44"/>
      <c r="T47" s="44"/>
      <c r="U47" s="44"/>
      <c r="V47" s="44"/>
      <c r="W47" s="44"/>
      <c r="X47" s="46"/>
    </row>
    <row r="48" spans="4:24" x14ac:dyDescent="0.2">
      <c r="D48" s="36" t="s">
        <v>181</v>
      </c>
      <c r="E48" s="42"/>
      <c r="F48" s="43"/>
      <c r="G48" s="43"/>
      <c r="H48" s="43"/>
      <c r="I48" s="43"/>
      <c r="J48" s="43"/>
      <c r="K48" s="43"/>
      <c r="L48" s="43"/>
      <c r="M48" s="43"/>
      <c r="N48" s="44"/>
      <c r="O48" s="45"/>
      <c r="P48" s="44"/>
      <c r="Q48" s="44"/>
      <c r="R48" s="44"/>
      <c r="S48" s="44"/>
      <c r="T48" s="44"/>
      <c r="U48" s="44"/>
      <c r="V48" s="44"/>
      <c r="W48" s="44"/>
      <c r="X48" s="46"/>
    </row>
    <row r="49" spans="4:24" x14ac:dyDescent="0.2">
      <c r="D49" s="36" t="s">
        <v>186</v>
      </c>
      <c r="E49" s="42"/>
      <c r="F49" s="43"/>
      <c r="G49" s="43"/>
      <c r="H49" s="43"/>
      <c r="I49" s="43"/>
      <c r="J49" s="43"/>
      <c r="K49" s="43"/>
      <c r="L49" s="43"/>
      <c r="M49" s="43"/>
      <c r="N49" s="44"/>
      <c r="O49" s="45"/>
      <c r="P49" s="44"/>
      <c r="Q49" s="44"/>
      <c r="R49" s="44"/>
      <c r="S49" s="44"/>
      <c r="T49" s="44"/>
      <c r="U49" s="44"/>
      <c r="V49" s="44"/>
      <c r="W49" s="44"/>
      <c r="X49" s="46"/>
    </row>
    <row r="50" spans="4:24" x14ac:dyDescent="0.2">
      <c r="D50" s="36" t="s">
        <v>193</v>
      </c>
      <c r="E50" s="42"/>
      <c r="F50" s="43"/>
      <c r="G50" s="43"/>
      <c r="H50" s="43"/>
      <c r="I50" s="43"/>
      <c r="J50" s="43"/>
      <c r="K50" s="43"/>
      <c r="L50" s="43"/>
      <c r="M50" s="43"/>
      <c r="N50" s="44"/>
      <c r="O50" s="45"/>
      <c r="P50" s="44"/>
      <c r="Q50" s="44"/>
      <c r="R50" s="44"/>
      <c r="S50" s="44"/>
      <c r="T50" s="44"/>
      <c r="U50" s="44"/>
      <c r="V50" s="44"/>
      <c r="W50" s="44"/>
      <c r="X50" s="46"/>
    </row>
    <row r="51" spans="4:24" x14ac:dyDescent="0.2">
      <c r="D51" s="36" t="s">
        <v>199</v>
      </c>
      <c r="E51" s="42"/>
      <c r="F51" s="43"/>
      <c r="G51" s="43"/>
      <c r="H51" s="43"/>
      <c r="I51" s="43"/>
      <c r="J51" s="43"/>
      <c r="K51" s="43"/>
      <c r="L51" s="43"/>
      <c r="M51" s="43"/>
      <c r="N51" s="44"/>
      <c r="O51" s="45"/>
      <c r="P51" s="44"/>
      <c r="Q51" s="44"/>
      <c r="R51" s="44"/>
      <c r="S51" s="44"/>
      <c r="T51" s="44"/>
      <c r="U51" s="44"/>
      <c r="V51" s="44"/>
      <c r="W51" s="44"/>
      <c r="X51" s="46"/>
    </row>
    <row r="52" spans="4:24" x14ac:dyDescent="0.2">
      <c r="D52" s="36" t="s">
        <v>204</v>
      </c>
      <c r="E52" s="42"/>
      <c r="F52" s="43"/>
      <c r="G52" s="43"/>
      <c r="H52" s="43"/>
      <c r="I52" s="43"/>
      <c r="J52" s="43"/>
      <c r="K52" s="43"/>
      <c r="L52" s="43"/>
      <c r="M52" s="43"/>
      <c r="N52" s="44"/>
      <c r="O52" s="45"/>
      <c r="P52" s="44"/>
      <c r="Q52" s="44"/>
      <c r="R52" s="44"/>
      <c r="S52" s="44"/>
      <c r="T52" s="44"/>
      <c r="U52" s="44"/>
      <c r="V52" s="44"/>
      <c r="W52" s="44"/>
      <c r="X52" s="46"/>
    </row>
    <row r="53" spans="4:24" x14ac:dyDescent="0.2">
      <c r="D53" s="36" t="s">
        <v>209</v>
      </c>
      <c r="E53" s="42"/>
      <c r="F53" s="43"/>
      <c r="G53" s="43"/>
      <c r="H53" s="43"/>
      <c r="I53" s="43"/>
      <c r="J53" s="43"/>
      <c r="K53" s="43"/>
      <c r="L53" s="43"/>
      <c r="M53" s="43"/>
      <c r="N53" s="44"/>
      <c r="O53" s="45"/>
      <c r="P53" s="44"/>
      <c r="Q53" s="44"/>
      <c r="R53" s="44"/>
      <c r="S53" s="44"/>
      <c r="T53" s="44"/>
      <c r="U53" s="44"/>
      <c r="V53" s="44"/>
      <c r="W53" s="44"/>
      <c r="X53" s="46"/>
    </row>
    <row r="54" spans="4:24" x14ac:dyDescent="0.2">
      <c r="D54" s="36" t="s">
        <v>212</v>
      </c>
      <c r="E54" s="42"/>
      <c r="F54" s="43"/>
      <c r="G54" s="43"/>
      <c r="H54" s="43"/>
      <c r="I54" s="43"/>
      <c r="J54" s="43"/>
      <c r="K54" s="43"/>
      <c r="L54" s="43"/>
      <c r="M54" s="43"/>
      <c r="N54" s="44"/>
      <c r="O54" s="45"/>
      <c r="P54" s="44"/>
      <c r="Q54" s="44"/>
      <c r="R54" s="44"/>
      <c r="S54" s="44"/>
      <c r="T54" s="44"/>
      <c r="U54" s="44"/>
      <c r="V54" s="44"/>
      <c r="W54" s="44"/>
      <c r="X54" s="46"/>
    </row>
    <row r="55" spans="4:24" ht="12" thickBot="1" x14ac:dyDescent="0.25">
      <c r="D55" s="49" t="s">
        <v>214</v>
      </c>
      <c r="E55" s="50"/>
      <c r="F55" s="51"/>
      <c r="G55" s="51"/>
      <c r="H55" s="51"/>
      <c r="I55" s="51"/>
      <c r="J55" s="51"/>
      <c r="K55" s="51"/>
      <c r="L55" s="51"/>
      <c r="M55" s="51"/>
      <c r="N55" s="52"/>
      <c r="O55" s="53"/>
      <c r="P55" s="52"/>
      <c r="Q55" s="52"/>
      <c r="R55" s="52"/>
      <c r="S55" s="52"/>
      <c r="T55" s="52"/>
      <c r="U55" s="52"/>
      <c r="V55" s="52"/>
      <c r="W55" s="52"/>
      <c r="X55" s="54"/>
    </row>
  </sheetData>
  <mergeCells count="1">
    <mergeCell ref="E5:X5"/>
  </mergeCells>
  <phoneticPr fontId="5" type="noConversion"/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GoNewFactors">
                <anchor moveWithCells="1" sizeWithCells="1">
                  <from>
                    <xdr:col>0</xdr:col>
                    <xdr:colOff>800100</xdr:colOff>
                    <xdr:row>0</xdr:row>
                    <xdr:rowOff>133350</xdr:rowOff>
                  </from>
                  <to>
                    <xdr:col>3</xdr:col>
                    <xdr:colOff>209550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IV35"/>
  <sheetViews>
    <sheetView workbookViewId="0">
      <selection activeCell="J18" sqref="J18"/>
    </sheetView>
  </sheetViews>
  <sheetFormatPr defaultColWidth="11.42578125" defaultRowHeight="12.75" x14ac:dyDescent="0.2"/>
  <cols>
    <col min="1" max="1" width="16.42578125" style="56" bestFit="1" customWidth="1"/>
    <col min="2" max="2" width="21.140625" style="56" customWidth="1"/>
    <col min="3" max="3" width="16.85546875" style="56" bestFit="1" customWidth="1"/>
    <col min="4" max="16384" width="11.42578125" style="56"/>
  </cols>
  <sheetData>
    <row r="1" spans="1:256" x14ac:dyDescent="0.2">
      <c r="IV1" s="75" t="s">
        <v>0</v>
      </c>
    </row>
    <row r="2" spans="1:256" x14ac:dyDescent="0.2">
      <c r="IV2" s="55" t="s">
        <v>3</v>
      </c>
    </row>
    <row r="3" spans="1:256" x14ac:dyDescent="0.2">
      <c r="IV3" s="55" t="s">
        <v>14</v>
      </c>
    </row>
    <row r="4" spans="1:256" x14ac:dyDescent="0.2">
      <c r="IV4" s="55" t="s">
        <v>18</v>
      </c>
    </row>
    <row r="5" spans="1:256" s="78" customFormat="1" ht="15.75" x14ac:dyDescent="0.25">
      <c r="A5" s="76" t="s">
        <v>689</v>
      </c>
      <c r="B5" s="77"/>
      <c r="IV5" s="55" t="s">
        <v>22</v>
      </c>
    </row>
    <row r="6" spans="1:256" x14ac:dyDescent="0.2">
      <c r="IV6" s="55" t="s">
        <v>27</v>
      </c>
    </row>
    <row r="7" spans="1:256" x14ac:dyDescent="0.2">
      <c r="A7" s="55"/>
      <c r="B7" s="55"/>
      <c r="IV7" s="55" t="s">
        <v>33</v>
      </c>
    </row>
    <row r="8" spans="1:256" x14ac:dyDescent="0.2">
      <c r="A8" s="79" t="s">
        <v>690</v>
      </c>
      <c r="B8" s="79" t="s">
        <v>691</v>
      </c>
      <c r="C8" s="79" t="s">
        <v>692</v>
      </c>
      <c r="IV8" s="55" t="s">
        <v>39</v>
      </c>
    </row>
    <row r="9" spans="1:256" x14ac:dyDescent="0.2">
      <c r="A9" s="80">
        <v>1</v>
      </c>
      <c r="B9" s="55" t="s">
        <v>693</v>
      </c>
      <c r="C9" s="81" t="s">
        <v>688</v>
      </c>
      <c r="IV9" s="55" t="s">
        <v>806</v>
      </c>
    </row>
    <row r="10" spans="1:256" x14ac:dyDescent="0.2">
      <c r="A10" s="80">
        <v>2</v>
      </c>
      <c r="B10" s="55" t="s">
        <v>295</v>
      </c>
      <c r="C10" s="81" t="s">
        <v>688</v>
      </c>
    </row>
    <row r="11" spans="1:256" x14ac:dyDescent="0.2">
      <c r="A11" s="80">
        <v>3</v>
      </c>
      <c r="B11" s="55" t="s">
        <v>694</v>
      </c>
      <c r="C11" s="81" t="s">
        <v>688</v>
      </c>
    </row>
    <row r="12" spans="1:256" x14ac:dyDescent="0.2">
      <c r="A12" s="80">
        <v>4</v>
      </c>
      <c r="B12" s="55" t="s">
        <v>297</v>
      </c>
      <c r="C12" s="81" t="s">
        <v>688</v>
      </c>
    </row>
    <row r="13" spans="1:256" x14ac:dyDescent="0.2">
      <c r="A13" s="80">
        <v>5</v>
      </c>
      <c r="B13" s="55" t="s">
        <v>293</v>
      </c>
      <c r="C13" s="81" t="s">
        <v>688</v>
      </c>
    </row>
    <row r="14" spans="1:256" x14ac:dyDescent="0.2">
      <c r="A14" s="80">
        <v>6</v>
      </c>
      <c r="B14" s="55" t="s">
        <v>695</v>
      </c>
      <c r="C14" s="81" t="s">
        <v>688</v>
      </c>
    </row>
    <row r="15" spans="1:256" x14ac:dyDescent="0.2">
      <c r="A15" s="80">
        <v>7</v>
      </c>
      <c r="B15" s="55" t="s">
        <v>299</v>
      </c>
      <c r="C15" s="81" t="s">
        <v>688</v>
      </c>
    </row>
    <row r="16" spans="1:256" x14ac:dyDescent="0.2">
      <c r="A16" s="80">
        <v>8</v>
      </c>
      <c r="B16" s="55" t="s">
        <v>696</v>
      </c>
      <c r="C16" s="81" t="s">
        <v>688</v>
      </c>
    </row>
    <row r="17" spans="1:3" x14ac:dyDescent="0.2">
      <c r="A17" s="80">
        <v>9</v>
      </c>
      <c r="B17" s="55" t="s">
        <v>697</v>
      </c>
      <c r="C17" s="81" t="s">
        <v>688</v>
      </c>
    </row>
    <row r="18" spans="1:3" x14ac:dyDescent="0.2">
      <c r="A18" s="80">
        <v>10</v>
      </c>
      <c r="B18" s="55" t="s">
        <v>698</v>
      </c>
      <c r="C18" s="81" t="s">
        <v>688</v>
      </c>
    </row>
    <row r="19" spans="1:3" x14ac:dyDescent="0.2">
      <c r="A19" s="80">
        <v>11</v>
      </c>
      <c r="B19" s="55" t="s">
        <v>699</v>
      </c>
      <c r="C19" s="81" t="s">
        <v>688</v>
      </c>
    </row>
    <row r="20" spans="1:3" x14ac:dyDescent="0.2">
      <c r="A20" s="80">
        <v>12</v>
      </c>
      <c r="B20" s="55" t="s">
        <v>700</v>
      </c>
      <c r="C20" s="81" t="s">
        <v>688</v>
      </c>
    </row>
    <row r="21" spans="1:3" x14ac:dyDescent="0.2">
      <c r="A21" s="80">
        <v>13</v>
      </c>
      <c r="B21" s="55" t="s">
        <v>315</v>
      </c>
      <c r="C21" s="81" t="s">
        <v>688</v>
      </c>
    </row>
    <row r="22" spans="1:3" x14ac:dyDescent="0.2">
      <c r="A22" s="80">
        <v>14</v>
      </c>
      <c r="B22" s="55" t="s">
        <v>701</v>
      </c>
      <c r="C22" s="81" t="s">
        <v>688</v>
      </c>
    </row>
    <row r="23" spans="1:3" x14ac:dyDescent="0.2">
      <c r="A23" s="80">
        <v>15</v>
      </c>
      <c r="B23" s="55" t="s">
        <v>702</v>
      </c>
      <c r="C23" s="81" t="s">
        <v>688</v>
      </c>
    </row>
    <row r="24" spans="1:3" x14ac:dyDescent="0.2">
      <c r="A24" s="80">
        <v>16</v>
      </c>
      <c r="B24" s="55" t="s">
        <v>322</v>
      </c>
      <c r="C24" s="81" t="s">
        <v>688</v>
      </c>
    </row>
    <row r="25" spans="1:3" x14ac:dyDescent="0.2">
      <c r="A25" s="80">
        <v>17</v>
      </c>
      <c r="B25" s="55" t="s">
        <v>703</v>
      </c>
      <c r="C25" s="81" t="s">
        <v>688</v>
      </c>
    </row>
    <row r="26" spans="1:3" x14ac:dyDescent="0.2">
      <c r="A26" s="80">
        <v>18</v>
      </c>
      <c r="B26" s="55" t="s">
        <v>704</v>
      </c>
      <c r="C26" s="81" t="s">
        <v>688</v>
      </c>
    </row>
    <row r="27" spans="1:3" x14ac:dyDescent="0.2">
      <c r="A27" s="80">
        <v>19</v>
      </c>
      <c r="B27" s="55" t="s">
        <v>324</v>
      </c>
      <c r="C27" s="81" t="s">
        <v>688</v>
      </c>
    </row>
    <row r="28" spans="1:3" x14ac:dyDescent="0.2">
      <c r="A28" s="80">
        <v>20</v>
      </c>
      <c r="B28" s="55" t="s">
        <v>382</v>
      </c>
      <c r="C28" s="81" t="s">
        <v>688</v>
      </c>
    </row>
    <row r="29" spans="1:3" x14ac:dyDescent="0.2">
      <c r="A29" s="80">
        <v>21</v>
      </c>
      <c r="B29" s="55" t="s">
        <v>423</v>
      </c>
      <c r="C29" s="81" t="s">
        <v>688</v>
      </c>
    </row>
    <row r="30" spans="1:3" x14ac:dyDescent="0.2">
      <c r="A30" s="80">
        <v>22</v>
      </c>
      <c r="B30" s="55" t="s">
        <v>705</v>
      </c>
      <c r="C30" s="81">
        <v>0</v>
      </c>
    </row>
    <row r="31" spans="1:3" x14ac:dyDescent="0.2">
      <c r="A31" s="80">
        <v>23</v>
      </c>
      <c r="B31" s="55" t="s">
        <v>706</v>
      </c>
      <c r="C31" s="81">
        <v>0</v>
      </c>
    </row>
    <row r="32" spans="1:3" x14ac:dyDescent="0.2">
      <c r="A32" s="80">
        <v>24</v>
      </c>
      <c r="B32" s="55" t="s">
        <v>768</v>
      </c>
      <c r="C32" s="81" t="s">
        <v>688</v>
      </c>
    </row>
    <row r="33" spans="1:3" x14ac:dyDescent="0.2">
      <c r="A33" s="80">
        <v>25</v>
      </c>
      <c r="B33" s="55" t="s">
        <v>769</v>
      </c>
      <c r="C33" s="81" t="s">
        <v>688</v>
      </c>
    </row>
    <row r="34" spans="1:3" x14ac:dyDescent="0.2">
      <c r="A34" s="80">
        <v>26</v>
      </c>
      <c r="B34" s="55" t="s">
        <v>770</v>
      </c>
      <c r="C34" s="81" t="s">
        <v>688</v>
      </c>
    </row>
    <row r="35" spans="1:3" x14ac:dyDescent="0.2">
      <c r="A35" s="80">
        <v>27</v>
      </c>
      <c r="B35" s="85" t="s">
        <v>820</v>
      </c>
      <c r="C35" s="81" t="s">
        <v>688</v>
      </c>
    </row>
  </sheetData>
  <phoneticPr fontId="5" type="noConversion"/>
  <pageMargins left="0.75" right="0.75" top="1" bottom="1" header="0" footer="0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K170"/>
  <sheetViews>
    <sheetView topLeftCell="A142" zoomScale="70" workbookViewId="0">
      <selection activeCell="E36" sqref="E36"/>
    </sheetView>
  </sheetViews>
  <sheetFormatPr defaultColWidth="11.42578125" defaultRowHeight="12.75" x14ac:dyDescent="0.2"/>
  <cols>
    <col min="2" max="2" width="16.42578125" bestFit="1" customWidth="1"/>
    <col min="3" max="3" width="22.85546875" customWidth="1"/>
    <col min="4" max="4" width="38.42578125" bestFit="1" customWidth="1"/>
    <col min="5" max="5" width="39.85546875" customWidth="1"/>
    <col min="6" max="7" width="33.85546875" bestFit="1" customWidth="1"/>
    <col min="8" max="10" width="33.85546875" customWidth="1"/>
    <col min="11" max="11" width="33" customWidth="1"/>
  </cols>
  <sheetData>
    <row r="1" spans="1:11" x14ac:dyDescent="0.2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771</v>
      </c>
    </row>
    <row r="2" spans="1:11" x14ac:dyDescent="0.2">
      <c r="A2" t="s">
        <v>3</v>
      </c>
      <c r="B2" t="s">
        <v>10</v>
      </c>
      <c r="C2" t="s">
        <v>11</v>
      </c>
      <c r="D2" t="s">
        <v>11</v>
      </c>
      <c r="E2" t="s">
        <v>12</v>
      </c>
      <c r="F2" t="s">
        <v>12</v>
      </c>
      <c r="G2" t="s">
        <v>12</v>
      </c>
      <c r="H2" t="s">
        <v>12</v>
      </c>
      <c r="I2" t="s">
        <v>13</v>
      </c>
      <c r="J2" t="s">
        <v>12</v>
      </c>
      <c r="K2" t="s">
        <v>772</v>
      </c>
    </row>
    <row r="3" spans="1:11" x14ac:dyDescent="0.2">
      <c r="A3" t="s">
        <v>14</v>
      </c>
      <c r="B3" t="s">
        <v>10</v>
      </c>
      <c r="C3" t="s">
        <v>15</v>
      </c>
      <c r="D3" t="s">
        <v>15</v>
      </c>
      <c r="E3" t="s">
        <v>16</v>
      </c>
      <c r="F3" t="s">
        <v>16</v>
      </c>
      <c r="G3" t="s">
        <v>16</v>
      </c>
      <c r="H3" t="s">
        <v>16</v>
      </c>
      <c r="I3" t="s">
        <v>17</v>
      </c>
      <c r="J3" t="s">
        <v>16</v>
      </c>
      <c r="K3" t="s">
        <v>16</v>
      </c>
    </row>
    <row r="4" spans="1:11" x14ac:dyDescent="0.2">
      <c r="A4" t="s">
        <v>18</v>
      </c>
      <c r="B4" t="s">
        <v>10</v>
      </c>
      <c r="C4" t="s">
        <v>19</v>
      </c>
      <c r="D4" t="s">
        <v>19</v>
      </c>
      <c r="E4" t="s">
        <v>20</v>
      </c>
      <c r="F4" t="s">
        <v>20</v>
      </c>
      <c r="G4" t="s">
        <v>20</v>
      </c>
      <c r="H4" t="s">
        <v>20</v>
      </c>
      <c r="I4" t="s">
        <v>21</v>
      </c>
      <c r="J4" t="s">
        <v>20</v>
      </c>
      <c r="K4" t="s">
        <v>20</v>
      </c>
    </row>
    <row r="5" spans="1:11" x14ac:dyDescent="0.2">
      <c r="A5" t="s">
        <v>22</v>
      </c>
      <c r="B5" t="s">
        <v>10</v>
      </c>
      <c r="C5" t="s">
        <v>23</v>
      </c>
      <c r="D5" t="s">
        <v>23</v>
      </c>
      <c r="E5" t="s">
        <v>24</v>
      </c>
      <c r="F5" t="s">
        <v>24</v>
      </c>
      <c r="G5" t="s">
        <v>24</v>
      </c>
      <c r="H5" t="s">
        <v>25</v>
      </c>
      <c r="I5" t="s">
        <v>26</v>
      </c>
      <c r="J5" t="s">
        <v>24</v>
      </c>
      <c r="K5" t="s">
        <v>773</v>
      </c>
    </row>
    <row r="6" spans="1:11" x14ac:dyDescent="0.2">
      <c r="A6" t="s">
        <v>27</v>
      </c>
      <c r="B6" t="s">
        <v>10</v>
      </c>
      <c r="C6" t="s">
        <v>28</v>
      </c>
      <c r="D6" t="s">
        <v>28</v>
      </c>
      <c r="E6" t="s">
        <v>29</v>
      </c>
      <c r="F6" t="s">
        <v>30</v>
      </c>
      <c r="G6" t="s">
        <v>31</v>
      </c>
      <c r="H6" t="s">
        <v>31</v>
      </c>
      <c r="I6" t="s">
        <v>32</v>
      </c>
      <c r="J6" t="s">
        <v>31</v>
      </c>
      <c r="K6" t="s">
        <v>31</v>
      </c>
    </row>
    <row r="7" spans="1:11" x14ac:dyDescent="0.2">
      <c r="A7" t="s">
        <v>33</v>
      </c>
      <c r="B7" t="s">
        <v>10</v>
      </c>
      <c r="C7" t="s">
        <v>34</v>
      </c>
      <c r="D7" t="s">
        <v>35</v>
      </c>
      <c r="E7" t="s">
        <v>36</v>
      </c>
      <c r="F7" t="s">
        <v>37</v>
      </c>
      <c r="G7" t="s">
        <v>36</v>
      </c>
      <c r="H7" t="s">
        <v>36</v>
      </c>
      <c r="I7" t="s">
        <v>38</v>
      </c>
      <c r="J7" t="s">
        <v>36</v>
      </c>
      <c r="K7" t="s">
        <v>37</v>
      </c>
    </row>
    <row r="8" spans="1:11" x14ac:dyDescent="0.2">
      <c r="A8" t="s">
        <v>39</v>
      </c>
      <c r="B8" t="s">
        <v>10</v>
      </c>
      <c r="C8" t="s">
        <v>40</v>
      </c>
      <c r="D8" t="s">
        <v>40</v>
      </c>
      <c r="E8" t="s">
        <v>41</v>
      </c>
      <c r="F8" t="s">
        <v>42</v>
      </c>
      <c r="G8" t="s">
        <v>41</v>
      </c>
      <c r="H8" t="s">
        <v>41</v>
      </c>
      <c r="I8" t="s">
        <v>43</v>
      </c>
      <c r="J8" t="s">
        <v>41</v>
      </c>
      <c r="K8" t="s">
        <v>41</v>
      </c>
    </row>
    <row r="9" spans="1:11" x14ac:dyDescent="0.2">
      <c r="A9" t="s">
        <v>806</v>
      </c>
      <c r="B9" t="s">
        <v>10</v>
      </c>
      <c r="C9" t="s">
        <v>44</v>
      </c>
      <c r="D9" t="s">
        <v>44</v>
      </c>
      <c r="E9" t="s">
        <v>45</v>
      </c>
      <c r="F9" t="s">
        <v>45</v>
      </c>
      <c r="G9" t="s">
        <v>45</v>
      </c>
      <c r="H9" t="s">
        <v>45</v>
      </c>
      <c r="I9" t="s">
        <v>46</v>
      </c>
      <c r="J9" t="s">
        <v>45</v>
      </c>
      <c r="K9" t="s">
        <v>45</v>
      </c>
    </row>
    <row r="10" spans="1:11" x14ac:dyDescent="0.2">
      <c r="B10" t="s">
        <v>10</v>
      </c>
      <c r="C10" t="s">
        <v>47</v>
      </c>
      <c r="D10" t="s">
        <v>48</v>
      </c>
      <c r="E10" t="s">
        <v>49</v>
      </c>
      <c r="F10" t="s">
        <v>50</v>
      </c>
      <c r="G10" t="s">
        <v>49</v>
      </c>
      <c r="H10" t="s">
        <v>51</v>
      </c>
      <c r="I10" t="s">
        <v>52</v>
      </c>
      <c r="J10" t="s">
        <v>49</v>
      </c>
      <c r="K10" t="s">
        <v>774</v>
      </c>
    </row>
    <row r="11" spans="1:11" x14ac:dyDescent="0.2">
      <c r="B11" t="s">
        <v>10</v>
      </c>
      <c r="C11" t="s">
        <v>53</v>
      </c>
      <c r="D11" t="s">
        <v>54</v>
      </c>
      <c r="E11" t="s">
        <v>55</v>
      </c>
      <c r="F11" t="s">
        <v>56</v>
      </c>
      <c r="G11" t="s">
        <v>55</v>
      </c>
      <c r="H11" t="s">
        <v>57</v>
      </c>
      <c r="I11" t="s">
        <v>58</v>
      </c>
      <c r="J11" t="s">
        <v>55</v>
      </c>
      <c r="K11" t="s">
        <v>775</v>
      </c>
    </row>
    <row r="12" spans="1:11" x14ac:dyDescent="0.2">
      <c r="B12" t="s">
        <v>10</v>
      </c>
      <c r="C12" t="s">
        <v>59</v>
      </c>
      <c r="D12" t="s">
        <v>59</v>
      </c>
      <c r="E12" t="s">
        <v>59</v>
      </c>
      <c r="F12" t="s">
        <v>59</v>
      </c>
      <c r="G12" t="s">
        <v>59</v>
      </c>
      <c r="H12" t="s">
        <v>59</v>
      </c>
      <c r="I12" t="s">
        <v>59</v>
      </c>
      <c r="J12" t="s">
        <v>59</v>
      </c>
      <c r="K12" t="s">
        <v>59</v>
      </c>
    </row>
    <row r="13" spans="1:11" x14ac:dyDescent="0.2">
      <c r="B13" t="s">
        <v>10</v>
      </c>
      <c r="C13" t="s">
        <v>60</v>
      </c>
      <c r="D13" t="s">
        <v>60</v>
      </c>
      <c r="E13" t="s">
        <v>61</v>
      </c>
      <c r="F13" t="s">
        <v>61</v>
      </c>
      <c r="G13" t="s">
        <v>61</v>
      </c>
      <c r="H13" t="s">
        <v>62</v>
      </c>
      <c r="I13" t="s">
        <v>61</v>
      </c>
      <c r="J13" t="s">
        <v>61</v>
      </c>
      <c r="K13" t="s">
        <v>61</v>
      </c>
    </row>
    <row r="14" spans="1:11" x14ac:dyDescent="0.2">
      <c r="B14" t="s">
        <v>10</v>
      </c>
      <c r="C14" t="s">
        <v>63</v>
      </c>
      <c r="D14" t="s">
        <v>63</v>
      </c>
      <c r="E14" t="s">
        <v>64</v>
      </c>
      <c r="F14" t="s">
        <v>65</v>
      </c>
      <c r="G14" t="s">
        <v>65</v>
      </c>
      <c r="H14" t="s">
        <v>65</v>
      </c>
      <c r="I14" t="s">
        <v>65</v>
      </c>
      <c r="J14" t="s">
        <v>65</v>
      </c>
      <c r="K14" t="s">
        <v>65</v>
      </c>
    </row>
    <row r="15" spans="1:11" x14ac:dyDescent="0.2">
      <c r="B15" t="s">
        <v>10</v>
      </c>
      <c r="C15" t="s">
        <v>66</v>
      </c>
      <c r="D15" t="s">
        <v>66</v>
      </c>
      <c r="E15" t="s">
        <v>67</v>
      </c>
      <c r="F15" t="s">
        <v>67</v>
      </c>
      <c r="G15" t="s">
        <v>68</v>
      </c>
      <c r="H15" t="s">
        <v>67</v>
      </c>
      <c r="I15" t="s">
        <v>69</v>
      </c>
      <c r="J15" t="s">
        <v>68</v>
      </c>
      <c r="K15" t="s">
        <v>776</v>
      </c>
    </row>
    <row r="16" spans="1:11" x14ac:dyDescent="0.2">
      <c r="B16" t="s">
        <v>10</v>
      </c>
      <c r="C16" t="s">
        <v>70</v>
      </c>
      <c r="D16" t="s">
        <v>70</v>
      </c>
      <c r="E16" t="s">
        <v>71</v>
      </c>
      <c r="F16" t="s">
        <v>71</v>
      </c>
      <c r="G16" t="s">
        <v>71</v>
      </c>
      <c r="H16" t="s">
        <v>72</v>
      </c>
      <c r="I16" t="s">
        <v>73</v>
      </c>
      <c r="J16" t="s">
        <v>71</v>
      </c>
      <c r="K16" t="s">
        <v>71</v>
      </c>
    </row>
    <row r="17" spans="2:11" x14ac:dyDescent="0.2">
      <c r="B17" t="s">
        <v>10</v>
      </c>
      <c r="C17" t="s">
        <v>74</v>
      </c>
      <c r="D17" t="s">
        <v>74</v>
      </c>
      <c r="E17" t="s">
        <v>75</v>
      </c>
      <c r="F17" t="s">
        <v>76</v>
      </c>
      <c r="G17" t="s">
        <v>75</v>
      </c>
      <c r="H17" t="s">
        <v>75</v>
      </c>
      <c r="I17" t="s">
        <v>75</v>
      </c>
      <c r="J17" t="s">
        <v>75</v>
      </c>
      <c r="K17" t="s">
        <v>75</v>
      </c>
    </row>
    <row r="18" spans="2:11" x14ac:dyDescent="0.2">
      <c r="B18" t="s">
        <v>10</v>
      </c>
      <c r="C18" t="s">
        <v>77</v>
      </c>
      <c r="D18" t="s">
        <v>77</v>
      </c>
      <c r="E18" t="s">
        <v>78</v>
      </c>
      <c r="F18" t="s">
        <v>78</v>
      </c>
      <c r="G18" t="s">
        <v>78</v>
      </c>
      <c r="H18" t="s">
        <v>78</v>
      </c>
      <c r="I18" t="s">
        <v>78</v>
      </c>
      <c r="J18" t="s">
        <v>78</v>
      </c>
      <c r="K18" t="s">
        <v>78</v>
      </c>
    </row>
    <row r="19" spans="2:11" x14ac:dyDescent="0.2">
      <c r="B19" t="s">
        <v>10</v>
      </c>
      <c r="C19" t="s">
        <v>79</v>
      </c>
      <c r="D19" t="s">
        <v>79</v>
      </c>
      <c r="E19" t="s">
        <v>80</v>
      </c>
      <c r="F19" t="s">
        <v>81</v>
      </c>
      <c r="G19" t="s">
        <v>80</v>
      </c>
      <c r="H19" t="s">
        <v>82</v>
      </c>
      <c r="I19" t="s">
        <v>83</v>
      </c>
      <c r="J19" t="s">
        <v>81</v>
      </c>
      <c r="K19" t="s">
        <v>80</v>
      </c>
    </row>
    <row r="20" spans="2:11" x14ac:dyDescent="0.2">
      <c r="B20" t="s">
        <v>10</v>
      </c>
      <c r="C20" t="s">
        <v>84</v>
      </c>
      <c r="D20" t="s">
        <v>84</v>
      </c>
      <c r="E20" t="s">
        <v>85</v>
      </c>
      <c r="F20" t="s">
        <v>85</v>
      </c>
      <c r="G20" t="s">
        <v>86</v>
      </c>
      <c r="H20" t="s">
        <v>87</v>
      </c>
      <c r="I20" t="s">
        <v>85</v>
      </c>
      <c r="J20" t="s">
        <v>88</v>
      </c>
      <c r="K20" t="s">
        <v>88</v>
      </c>
    </row>
    <row r="21" spans="2:11" x14ac:dyDescent="0.2">
      <c r="B21" t="s">
        <v>10</v>
      </c>
      <c r="C21" t="s">
        <v>89</v>
      </c>
      <c r="D21" t="s">
        <v>90</v>
      </c>
      <c r="E21" t="s">
        <v>91</v>
      </c>
      <c r="F21" t="s">
        <v>92</v>
      </c>
      <c r="G21" t="s">
        <v>91</v>
      </c>
      <c r="H21" t="s">
        <v>93</v>
      </c>
      <c r="I21" t="s">
        <v>94</v>
      </c>
      <c r="J21" t="s">
        <v>91</v>
      </c>
      <c r="K21" t="s">
        <v>777</v>
      </c>
    </row>
    <row r="22" spans="2:11" x14ac:dyDescent="0.2">
      <c r="B22" t="s">
        <v>10</v>
      </c>
      <c r="C22" t="s">
        <v>95</v>
      </c>
      <c r="D22" t="s">
        <v>95</v>
      </c>
      <c r="E22" t="s">
        <v>96</v>
      </c>
      <c r="F22" t="s">
        <v>96</v>
      </c>
      <c r="G22" t="s">
        <v>96</v>
      </c>
      <c r="H22" t="s">
        <v>96</v>
      </c>
      <c r="I22" t="s">
        <v>96</v>
      </c>
      <c r="J22" t="s">
        <v>96</v>
      </c>
      <c r="K22" t="s">
        <v>96</v>
      </c>
    </row>
    <row r="23" spans="2:11" x14ac:dyDescent="0.2">
      <c r="B23" t="s">
        <v>10</v>
      </c>
      <c r="C23" t="s">
        <v>97</v>
      </c>
      <c r="D23" t="s">
        <v>97</v>
      </c>
      <c r="E23" s="83" t="s">
        <v>99</v>
      </c>
      <c r="F23" t="s">
        <v>99</v>
      </c>
      <c r="G23" t="s">
        <v>98</v>
      </c>
      <c r="H23" t="s">
        <v>99</v>
      </c>
      <c r="I23" t="s">
        <v>99</v>
      </c>
      <c r="J23" t="s">
        <v>99</v>
      </c>
      <c r="K23" t="s">
        <v>778</v>
      </c>
    </row>
    <row r="24" spans="2:11" x14ac:dyDescent="0.2">
      <c r="B24" t="s">
        <v>10</v>
      </c>
      <c r="C24" t="s">
        <v>100</v>
      </c>
      <c r="D24" t="s">
        <v>100</v>
      </c>
      <c r="E24" t="s">
        <v>101</v>
      </c>
      <c r="F24" t="s">
        <v>101</v>
      </c>
      <c r="G24" t="s">
        <v>101</v>
      </c>
      <c r="H24" t="s">
        <v>102</v>
      </c>
      <c r="I24" t="s">
        <v>103</v>
      </c>
      <c r="J24" t="s">
        <v>104</v>
      </c>
      <c r="K24" t="s">
        <v>101</v>
      </c>
    </row>
    <row r="25" spans="2:11" x14ac:dyDescent="0.2">
      <c r="B25" t="s">
        <v>10</v>
      </c>
      <c r="C25" t="s">
        <v>105</v>
      </c>
      <c r="D25" t="s">
        <v>106</v>
      </c>
      <c r="E25" t="s">
        <v>107</v>
      </c>
      <c r="F25" t="s">
        <v>107</v>
      </c>
      <c r="G25" t="s">
        <v>107</v>
      </c>
      <c r="H25" t="s">
        <v>107</v>
      </c>
      <c r="I25" t="s">
        <v>108</v>
      </c>
      <c r="J25" t="s">
        <v>109</v>
      </c>
      <c r="K25" t="s">
        <v>779</v>
      </c>
    </row>
    <row r="26" spans="2:11" x14ac:dyDescent="0.2">
      <c r="B26" t="s">
        <v>10</v>
      </c>
      <c r="C26" t="s">
        <v>110</v>
      </c>
      <c r="D26" t="s">
        <v>111</v>
      </c>
      <c r="E26" t="s">
        <v>112</v>
      </c>
      <c r="F26" t="s">
        <v>113</v>
      </c>
      <c r="G26" t="s">
        <v>112</v>
      </c>
      <c r="H26" t="s">
        <v>114</v>
      </c>
      <c r="I26" t="s">
        <v>115</v>
      </c>
      <c r="J26" t="s">
        <v>116</v>
      </c>
      <c r="K26" t="s">
        <v>804</v>
      </c>
    </row>
    <row r="27" spans="2:11" x14ac:dyDescent="0.2">
      <c r="B27" t="s">
        <v>10</v>
      </c>
      <c r="C27" t="s">
        <v>117</v>
      </c>
      <c r="D27" t="s">
        <v>117</v>
      </c>
      <c r="E27" t="s">
        <v>118</v>
      </c>
      <c r="F27" t="s">
        <v>118</v>
      </c>
      <c r="G27" t="s">
        <v>118</v>
      </c>
      <c r="H27" t="s">
        <v>118</v>
      </c>
      <c r="I27" t="s">
        <v>119</v>
      </c>
      <c r="J27" t="s">
        <v>120</v>
      </c>
      <c r="K27" t="s">
        <v>118</v>
      </c>
    </row>
    <row r="28" spans="2:11" x14ac:dyDescent="0.2">
      <c r="B28" t="s">
        <v>10</v>
      </c>
      <c r="C28" t="s">
        <v>121</v>
      </c>
      <c r="D28" t="s">
        <v>121</v>
      </c>
      <c r="E28" t="s">
        <v>122</v>
      </c>
      <c r="F28" t="s">
        <v>122</v>
      </c>
      <c r="G28" t="s">
        <v>122</v>
      </c>
      <c r="H28" t="s">
        <v>122</v>
      </c>
      <c r="I28" t="s">
        <v>122</v>
      </c>
      <c r="J28" t="s">
        <v>122</v>
      </c>
      <c r="K28" t="s">
        <v>122</v>
      </c>
    </row>
    <row r="29" spans="2:11" x14ac:dyDescent="0.2">
      <c r="B29" t="s">
        <v>10</v>
      </c>
      <c r="C29" t="s">
        <v>123</v>
      </c>
      <c r="D29" t="s">
        <v>124</v>
      </c>
      <c r="E29" t="s">
        <v>125</v>
      </c>
      <c r="F29" t="s">
        <v>126</v>
      </c>
      <c r="G29" t="s">
        <v>127</v>
      </c>
      <c r="H29" t="s">
        <v>128</v>
      </c>
      <c r="I29" t="s">
        <v>129</v>
      </c>
      <c r="J29" t="s">
        <v>130</v>
      </c>
      <c r="K29" t="s">
        <v>780</v>
      </c>
    </row>
    <row r="30" spans="2:11" x14ac:dyDescent="0.2">
      <c r="B30" t="s">
        <v>10</v>
      </c>
      <c r="C30" t="s">
        <v>131</v>
      </c>
      <c r="D30" t="s">
        <v>131</v>
      </c>
      <c r="E30" t="s">
        <v>132</v>
      </c>
      <c r="F30" t="s">
        <v>132</v>
      </c>
      <c r="G30" t="s">
        <v>132</v>
      </c>
      <c r="H30" t="s">
        <v>133</v>
      </c>
      <c r="I30" t="s">
        <v>132</v>
      </c>
      <c r="J30" t="s">
        <v>134</v>
      </c>
      <c r="K30" t="s">
        <v>134</v>
      </c>
    </row>
    <row r="31" spans="2:11" x14ac:dyDescent="0.2">
      <c r="B31" t="s">
        <v>10</v>
      </c>
      <c r="C31" t="s">
        <v>135</v>
      </c>
      <c r="D31" t="s">
        <v>135</v>
      </c>
      <c r="E31" t="s">
        <v>135</v>
      </c>
      <c r="F31" t="s">
        <v>135</v>
      </c>
      <c r="G31" t="s">
        <v>135</v>
      </c>
      <c r="H31" t="s">
        <v>136</v>
      </c>
      <c r="I31" t="s">
        <v>137</v>
      </c>
      <c r="J31" t="s">
        <v>135</v>
      </c>
      <c r="K31" t="s">
        <v>805</v>
      </c>
    </row>
    <row r="32" spans="2:11" x14ac:dyDescent="0.2">
      <c r="B32" t="s">
        <v>10</v>
      </c>
      <c r="C32" t="s">
        <v>138</v>
      </c>
      <c r="D32" t="s">
        <v>138</v>
      </c>
      <c r="E32" t="s">
        <v>82</v>
      </c>
      <c r="F32" t="s">
        <v>139</v>
      </c>
      <c r="G32" t="s">
        <v>140</v>
      </c>
      <c r="H32" t="s">
        <v>141</v>
      </c>
      <c r="I32" t="s">
        <v>142</v>
      </c>
      <c r="J32" t="s">
        <v>140</v>
      </c>
      <c r="K32" t="s">
        <v>781</v>
      </c>
    </row>
    <row r="33" spans="2:11" x14ac:dyDescent="0.2">
      <c r="B33" t="s">
        <v>10</v>
      </c>
      <c r="C33" t="s">
        <v>143</v>
      </c>
      <c r="D33" t="s">
        <v>143</v>
      </c>
      <c r="E33" t="s">
        <v>144</v>
      </c>
      <c r="F33" t="s">
        <v>145</v>
      </c>
      <c r="G33" t="s">
        <v>146</v>
      </c>
      <c r="H33" t="s">
        <v>144</v>
      </c>
      <c r="I33" t="s">
        <v>147</v>
      </c>
      <c r="J33" t="s">
        <v>148</v>
      </c>
      <c r="K33" t="s">
        <v>782</v>
      </c>
    </row>
    <row r="34" spans="2:11" x14ac:dyDescent="0.2">
      <c r="B34" t="s">
        <v>10</v>
      </c>
      <c r="C34" t="s">
        <v>149</v>
      </c>
      <c r="D34" t="s">
        <v>149</v>
      </c>
      <c r="E34" t="s">
        <v>150</v>
      </c>
      <c r="F34" t="s">
        <v>150</v>
      </c>
      <c r="G34" t="s">
        <v>150</v>
      </c>
      <c r="H34" t="s">
        <v>150</v>
      </c>
      <c r="I34" t="s">
        <v>151</v>
      </c>
      <c r="J34" t="s">
        <v>150</v>
      </c>
      <c r="K34" t="s">
        <v>150</v>
      </c>
    </row>
    <row r="35" spans="2:11" x14ac:dyDescent="0.2">
      <c r="B35" t="s">
        <v>10</v>
      </c>
      <c r="C35" t="s">
        <v>152</v>
      </c>
      <c r="D35" t="s">
        <v>152</v>
      </c>
      <c r="E35" t="s">
        <v>153</v>
      </c>
      <c r="F35" t="s">
        <v>154</v>
      </c>
      <c r="G35" t="s">
        <v>153</v>
      </c>
      <c r="H35" t="s">
        <v>155</v>
      </c>
      <c r="I35" t="s">
        <v>154</v>
      </c>
      <c r="J35" t="s">
        <v>154</v>
      </c>
      <c r="K35" t="s">
        <v>154</v>
      </c>
    </row>
    <row r="36" spans="2:11" x14ac:dyDescent="0.2">
      <c r="B36" t="s">
        <v>10</v>
      </c>
      <c r="C36" t="s">
        <v>156</v>
      </c>
      <c r="D36" t="s">
        <v>744</v>
      </c>
      <c r="E36" s="83" t="s">
        <v>823</v>
      </c>
      <c r="F36" s="83" t="s">
        <v>823</v>
      </c>
      <c r="G36" s="83" t="s">
        <v>823</v>
      </c>
      <c r="H36" s="83" t="s">
        <v>823</v>
      </c>
      <c r="I36" s="83" t="s">
        <v>823</v>
      </c>
      <c r="J36" s="83" t="s">
        <v>823</v>
      </c>
      <c r="K36" s="83" t="s">
        <v>823</v>
      </c>
    </row>
    <row r="37" spans="2:11" x14ac:dyDescent="0.2">
      <c r="B37" t="s">
        <v>10</v>
      </c>
      <c r="C37" t="s">
        <v>158</v>
      </c>
      <c r="D37" t="s">
        <v>158</v>
      </c>
      <c r="E37" t="s">
        <v>159</v>
      </c>
      <c r="F37" t="s">
        <v>159</v>
      </c>
      <c r="G37" t="s">
        <v>159</v>
      </c>
      <c r="H37" t="s">
        <v>160</v>
      </c>
      <c r="I37" t="s">
        <v>161</v>
      </c>
      <c r="J37" t="s">
        <v>159</v>
      </c>
      <c r="K37" t="s">
        <v>159</v>
      </c>
    </row>
    <row r="38" spans="2:11" x14ac:dyDescent="0.2">
      <c r="B38" t="s">
        <v>10</v>
      </c>
      <c r="C38" t="s">
        <v>162</v>
      </c>
      <c r="D38" t="s">
        <v>162</v>
      </c>
      <c r="E38" t="s">
        <v>163</v>
      </c>
      <c r="F38" t="s">
        <v>164</v>
      </c>
      <c r="G38" t="s">
        <v>163</v>
      </c>
      <c r="H38" t="s">
        <v>165</v>
      </c>
      <c r="I38" t="s">
        <v>166</v>
      </c>
      <c r="J38" t="s">
        <v>163</v>
      </c>
      <c r="K38" t="s">
        <v>163</v>
      </c>
    </row>
    <row r="39" spans="2:11" x14ac:dyDescent="0.2">
      <c r="B39" t="s">
        <v>10</v>
      </c>
      <c r="C39" t="s">
        <v>167</v>
      </c>
      <c r="D39" t="s">
        <v>167</v>
      </c>
      <c r="E39" t="s">
        <v>168</v>
      </c>
      <c r="F39" t="s">
        <v>168</v>
      </c>
      <c r="G39" t="s">
        <v>168</v>
      </c>
      <c r="H39" t="s">
        <v>168</v>
      </c>
      <c r="I39" t="s">
        <v>168</v>
      </c>
      <c r="J39" t="s">
        <v>168</v>
      </c>
      <c r="K39" t="s">
        <v>168</v>
      </c>
    </row>
    <row r="40" spans="2:11" x14ac:dyDescent="0.2">
      <c r="B40" t="s">
        <v>10</v>
      </c>
      <c r="C40" t="s">
        <v>169</v>
      </c>
      <c r="D40" t="s">
        <v>169</v>
      </c>
      <c r="E40" t="s">
        <v>170</v>
      </c>
      <c r="F40" t="s">
        <v>171</v>
      </c>
      <c r="G40" t="s">
        <v>172</v>
      </c>
      <c r="H40" t="s">
        <v>173</v>
      </c>
      <c r="I40" t="s">
        <v>170</v>
      </c>
      <c r="J40" t="s">
        <v>172</v>
      </c>
      <c r="K40" t="s">
        <v>171</v>
      </c>
    </row>
    <row r="41" spans="2:11" x14ac:dyDescent="0.2">
      <c r="B41" t="s">
        <v>10</v>
      </c>
      <c r="C41" t="s">
        <v>174</v>
      </c>
      <c r="D41" t="s">
        <v>174</v>
      </c>
      <c r="E41" t="s">
        <v>175</v>
      </c>
      <c r="F41" t="s">
        <v>176</v>
      </c>
      <c r="G41" t="s">
        <v>177</v>
      </c>
      <c r="H41" t="s">
        <v>178</v>
      </c>
      <c r="I41" t="s">
        <v>179</v>
      </c>
      <c r="J41" t="s">
        <v>177</v>
      </c>
      <c r="K41" t="s">
        <v>783</v>
      </c>
    </row>
    <row r="42" spans="2:11" x14ac:dyDescent="0.2">
      <c r="B42" t="s">
        <v>10</v>
      </c>
      <c r="C42" t="s">
        <v>180</v>
      </c>
      <c r="D42" t="s">
        <v>180</v>
      </c>
      <c r="E42" t="s">
        <v>181</v>
      </c>
      <c r="F42" t="s">
        <v>181</v>
      </c>
      <c r="G42" t="s">
        <v>181</v>
      </c>
      <c r="H42" t="s">
        <v>182</v>
      </c>
      <c r="I42" t="s">
        <v>183</v>
      </c>
      <c r="J42" t="s">
        <v>181</v>
      </c>
      <c r="K42" t="s">
        <v>181</v>
      </c>
    </row>
    <row r="43" spans="2:11" x14ac:dyDescent="0.2">
      <c r="B43" t="s">
        <v>10</v>
      </c>
      <c r="C43" t="s">
        <v>184</v>
      </c>
      <c r="D43" t="s">
        <v>185</v>
      </c>
      <c r="E43" t="s">
        <v>186</v>
      </c>
      <c r="F43" t="s">
        <v>187</v>
      </c>
      <c r="G43" t="s">
        <v>187</v>
      </c>
      <c r="H43" t="s">
        <v>188</v>
      </c>
      <c r="I43" t="s">
        <v>189</v>
      </c>
      <c r="J43" t="s">
        <v>190</v>
      </c>
      <c r="K43" t="s">
        <v>784</v>
      </c>
    </row>
    <row r="44" spans="2:11" x14ac:dyDescent="0.2">
      <c r="B44" t="s">
        <v>10</v>
      </c>
      <c r="C44" t="s">
        <v>191</v>
      </c>
      <c r="D44" t="s">
        <v>192</v>
      </c>
      <c r="E44" t="s">
        <v>193</v>
      </c>
      <c r="F44" t="s">
        <v>194</v>
      </c>
      <c r="G44" t="s">
        <v>194</v>
      </c>
      <c r="H44" t="s">
        <v>194</v>
      </c>
      <c r="I44" t="s">
        <v>195</v>
      </c>
      <c r="J44" t="s">
        <v>196</v>
      </c>
      <c r="K44" t="s">
        <v>785</v>
      </c>
    </row>
    <row r="45" spans="2:11" x14ac:dyDescent="0.2">
      <c r="B45" t="s">
        <v>10</v>
      </c>
      <c r="C45" t="s">
        <v>197</v>
      </c>
      <c r="D45" t="s">
        <v>198</v>
      </c>
      <c r="E45" t="s">
        <v>199</v>
      </c>
      <c r="F45" t="s">
        <v>199</v>
      </c>
      <c r="G45" t="s">
        <v>199</v>
      </c>
      <c r="H45" t="s">
        <v>200</v>
      </c>
      <c r="I45" t="s">
        <v>201</v>
      </c>
      <c r="J45" t="s">
        <v>199</v>
      </c>
      <c r="K45" t="s">
        <v>199</v>
      </c>
    </row>
    <row r="46" spans="2:11" x14ac:dyDescent="0.2">
      <c r="B46" t="s">
        <v>10</v>
      </c>
      <c r="C46" t="s">
        <v>202</v>
      </c>
      <c r="D46" t="s">
        <v>203</v>
      </c>
      <c r="E46" t="s">
        <v>204</v>
      </c>
      <c r="F46" t="s">
        <v>205</v>
      </c>
      <c r="G46" t="s">
        <v>204</v>
      </c>
      <c r="H46" t="s">
        <v>204</v>
      </c>
      <c r="I46" t="s">
        <v>206</v>
      </c>
      <c r="J46" t="s">
        <v>207</v>
      </c>
      <c r="K46" t="s">
        <v>207</v>
      </c>
    </row>
    <row r="47" spans="2:11" x14ac:dyDescent="0.2">
      <c r="B47" t="s">
        <v>10</v>
      </c>
      <c r="C47" t="s">
        <v>208</v>
      </c>
      <c r="D47" t="s">
        <v>208</v>
      </c>
      <c r="E47" t="s">
        <v>209</v>
      </c>
      <c r="F47" t="s">
        <v>209</v>
      </c>
      <c r="G47" t="s">
        <v>209</v>
      </c>
      <c r="H47" t="s">
        <v>209</v>
      </c>
      <c r="I47" t="s">
        <v>210</v>
      </c>
      <c r="J47" t="s">
        <v>208</v>
      </c>
      <c r="K47" t="s">
        <v>209</v>
      </c>
    </row>
    <row r="48" spans="2:11" x14ac:dyDescent="0.2">
      <c r="B48" t="s">
        <v>10</v>
      </c>
      <c r="C48" t="s">
        <v>211</v>
      </c>
      <c r="D48" t="s">
        <v>211</v>
      </c>
      <c r="E48" t="s">
        <v>212</v>
      </c>
      <c r="F48" t="s">
        <v>212</v>
      </c>
      <c r="G48" t="s">
        <v>212</v>
      </c>
      <c r="H48" t="s">
        <v>212</v>
      </c>
      <c r="I48" t="s">
        <v>212</v>
      </c>
      <c r="J48" t="s">
        <v>212</v>
      </c>
      <c r="K48" t="s">
        <v>212</v>
      </c>
    </row>
    <row r="49" spans="2:11" x14ac:dyDescent="0.2">
      <c r="B49" t="s">
        <v>10</v>
      </c>
      <c r="C49" t="s">
        <v>213</v>
      </c>
      <c r="D49" t="s">
        <v>213</v>
      </c>
      <c r="E49" t="s">
        <v>214</v>
      </c>
      <c r="F49" s="3" t="s">
        <v>214</v>
      </c>
      <c r="G49" s="3" t="s">
        <v>214</v>
      </c>
      <c r="H49" s="3" t="s">
        <v>214</v>
      </c>
      <c r="I49" s="3" t="s">
        <v>215</v>
      </c>
      <c r="J49" t="s">
        <v>214</v>
      </c>
      <c r="K49" t="s">
        <v>214</v>
      </c>
    </row>
    <row r="50" spans="2:11" x14ac:dyDescent="0.2">
      <c r="B50" t="s">
        <v>10</v>
      </c>
      <c r="C50" t="s">
        <v>216</v>
      </c>
      <c r="D50" t="s">
        <v>216</v>
      </c>
      <c r="E50" t="s">
        <v>217</v>
      </c>
      <c r="F50" s="3" t="s">
        <v>217</v>
      </c>
      <c r="G50" s="3" t="s">
        <v>218</v>
      </c>
      <c r="H50" s="3" t="s">
        <v>216</v>
      </c>
      <c r="I50" s="3" t="s">
        <v>216</v>
      </c>
      <c r="J50" t="s">
        <v>217</v>
      </c>
      <c r="K50" t="s">
        <v>218</v>
      </c>
    </row>
    <row r="51" spans="2:11" x14ac:dyDescent="0.2">
      <c r="B51" t="s">
        <v>10</v>
      </c>
      <c r="C51" t="s">
        <v>219</v>
      </c>
      <c r="D51" t="s">
        <v>219</v>
      </c>
      <c r="E51" t="s">
        <v>13</v>
      </c>
      <c r="F51" s="3" t="s">
        <v>13</v>
      </c>
      <c r="G51" s="3" t="s">
        <v>13</v>
      </c>
      <c r="H51" s="3" t="s">
        <v>219</v>
      </c>
      <c r="I51" s="3" t="s">
        <v>13</v>
      </c>
      <c r="J51" t="s">
        <v>13</v>
      </c>
      <c r="K51" t="s">
        <v>13</v>
      </c>
    </row>
    <row r="52" spans="2:11" x14ac:dyDescent="0.2">
      <c r="B52" t="s">
        <v>10</v>
      </c>
      <c r="C52" t="s">
        <v>220</v>
      </c>
      <c r="D52" t="s">
        <v>220</v>
      </c>
      <c r="E52" t="s">
        <v>221</v>
      </c>
      <c r="F52" s="3" t="s">
        <v>221</v>
      </c>
      <c r="G52" s="3" t="s">
        <v>220</v>
      </c>
      <c r="H52" s="3" t="s">
        <v>220</v>
      </c>
      <c r="I52" s="3" t="s">
        <v>220</v>
      </c>
      <c r="J52" t="s">
        <v>221</v>
      </c>
      <c r="K52" t="s">
        <v>786</v>
      </c>
    </row>
    <row r="53" spans="2:11" x14ac:dyDescent="0.2">
      <c r="B53" t="s">
        <v>10</v>
      </c>
      <c r="C53" t="s">
        <v>222</v>
      </c>
      <c r="D53" t="s">
        <v>222</v>
      </c>
      <c r="E53" t="s">
        <v>157</v>
      </c>
      <c r="F53" s="3" t="s">
        <v>157</v>
      </c>
      <c r="G53" s="3" t="s">
        <v>157</v>
      </c>
      <c r="H53" s="3" t="s">
        <v>222</v>
      </c>
      <c r="I53" s="3" t="s">
        <v>222</v>
      </c>
      <c r="J53" t="s">
        <v>157</v>
      </c>
      <c r="K53" t="s">
        <v>172</v>
      </c>
    </row>
    <row r="54" spans="2:11" x14ac:dyDescent="0.2">
      <c r="B54" t="s">
        <v>10</v>
      </c>
      <c r="C54" t="s">
        <v>223</v>
      </c>
      <c r="D54" t="s">
        <v>223</v>
      </c>
      <c r="E54" t="s">
        <v>224</v>
      </c>
      <c r="F54" t="s">
        <v>224</v>
      </c>
      <c r="G54" t="s">
        <v>224</v>
      </c>
      <c r="H54" t="s">
        <v>225</v>
      </c>
      <c r="I54" t="s">
        <v>226</v>
      </c>
      <c r="J54" t="s">
        <v>224</v>
      </c>
      <c r="K54" t="s">
        <v>224</v>
      </c>
    </row>
    <row r="55" spans="2:11" x14ac:dyDescent="0.2">
      <c r="B55" t="s">
        <v>10</v>
      </c>
      <c r="C55" t="s">
        <v>227</v>
      </c>
      <c r="D55" t="s">
        <v>227</v>
      </c>
      <c r="E55" t="s">
        <v>228</v>
      </c>
      <c r="F55" t="s">
        <v>228</v>
      </c>
      <c r="G55" t="s">
        <v>228</v>
      </c>
      <c r="H55" t="s">
        <v>229</v>
      </c>
      <c r="I55" t="s">
        <v>230</v>
      </c>
      <c r="J55" t="s">
        <v>228</v>
      </c>
      <c r="K55" t="s">
        <v>787</v>
      </c>
    </row>
    <row r="56" spans="2:11" x14ac:dyDescent="0.2">
      <c r="B56" t="s">
        <v>231</v>
      </c>
      <c r="C56" t="s">
        <v>745</v>
      </c>
      <c r="D56" t="s">
        <v>744</v>
      </c>
      <c r="E56" t="s">
        <v>763</v>
      </c>
      <c r="F56" t="s">
        <v>745</v>
      </c>
      <c r="G56" t="s">
        <v>745</v>
      </c>
      <c r="H56" t="s">
        <v>745</v>
      </c>
      <c r="I56" t="s">
        <v>745</v>
      </c>
      <c r="J56" t="s">
        <v>745</v>
      </c>
      <c r="K56" t="s">
        <v>763</v>
      </c>
    </row>
    <row r="57" spans="2:11" x14ac:dyDescent="0.2">
      <c r="B57" t="s">
        <v>231</v>
      </c>
      <c r="C57" t="s">
        <v>746</v>
      </c>
      <c r="D57" t="s">
        <v>756</v>
      </c>
      <c r="E57" t="s">
        <v>764</v>
      </c>
      <c r="F57" t="s">
        <v>746</v>
      </c>
      <c r="G57" t="s">
        <v>746</v>
      </c>
      <c r="H57" t="s">
        <v>746</v>
      </c>
      <c r="I57" t="s">
        <v>746</v>
      </c>
      <c r="J57" t="s">
        <v>746</v>
      </c>
      <c r="K57" t="s">
        <v>764</v>
      </c>
    </row>
    <row r="58" spans="2:11" x14ac:dyDescent="0.2">
      <c r="B58" t="s">
        <v>231</v>
      </c>
      <c r="C58" t="s">
        <v>747</v>
      </c>
      <c r="D58" t="s">
        <v>757</v>
      </c>
      <c r="E58" t="s">
        <v>757</v>
      </c>
      <c r="F58" t="s">
        <v>747</v>
      </c>
      <c r="G58" t="s">
        <v>747</v>
      </c>
      <c r="H58" t="s">
        <v>747</v>
      </c>
      <c r="I58" t="s">
        <v>747</v>
      </c>
      <c r="J58" t="s">
        <v>747</v>
      </c>
      <c r="K58" t="s">
        <v>757</v>
      </c>
    </row>
    <row r="59" spans="2:11" x14ac:dyDescent="0.2">
      <c r="B59" t="s">
        <v>231</v>
      </c>
      <c r="C59" t="s">
        <v>748</v>
      </c>
      <c r="D59" t="s">
        <v>758</v>
      </c>
      <c r="E59" t="s">
        <v>758</v>
      </c>
      <c r="F59" t="s">
        <v>748</v>
      </c>
      <c r="G59" t="s">
        <v>748</v>
      </c>
      <c r="H59" t="s">
        <v>748</v>
      </c>
      <c r="I59" t="s">
        <v>748</v>
      </c>
      <c r="J59" t="s">
        <v>748</v>
      </c>
      <c r="K59" t="s">
        <v>758</v>
      </c>
    </row>
    <row r="60" spans="2:11" x14ac:dyDescent="0.2">
      <c r="B60" t="s">
        <v>231</v>
      </c>
      <c r="C60" t="s">
        <v>749</v>
      </c>
      <c r="D60" t="s">
        <v>759</v>
      </c>
      <c r="E60" t="s">
        <v>765</v>
      </c>
      <c r="F60" t="s">
        <v>749</v>
      </c>
      <c r="G60" t="s">
        <v>749</v>
      </c>
      <c r="H60" t="s">
        <v>749</v>
      </c>
      <c r="I60" t="s">
        <v>749</v>
      </c>
      <c r="J60" t="s">
        <v>749</v>
      </c>
      <c r="K60" t="s">
        <v>765</v>
      </c>
    </row>
    <row r="61" spans="2:11" x14ac:dyDescent="0.2">
      <c r="B61" t="s">
        <v>231</v>
      </c>
      <c r="C61" t="s">
        <v>750</v>
      </c>
      <c r="D61" t="s">
        <v>760</v>
      </c>
      <c r="E61" t="s">
        <v>766</v>
      </c>
      <c r="F61" t="s">
        <v>750</v>
      </c>
      <c r="G61" t="s">
        <v>750</v>
      </c>
      <c r="H61" t="s">
        <v>750</v>
      </c>
      <c r="I61" t="s">
        <v>750</v>
      </c>
      <c r="J61" t="s">
        <v>750</v>
      </c>
      <c r="K61" t="s">
        <v>766</v>
      </c>
    </row>
    <row r="62" spans="2:11" x14ac:dyDescent="0.2">
      <c r="B62" t="s">
        <v>231</v>
      </c>
      <c r="C62" t="s">
        <v>751</v>
      </c>
      <c r="D62" t="s">
        <v>761</v>
      </c>
      <c r="E62" t="s">
        <v>767</v>
      </c>
      <c r="F62" t="s">
        <v>751</v>
      </c>
      <c r="G62" t="s">
        <v>751</v>
      </c>
      <c r="H62" t="s">
        <v>751</v>
      </c>
      <c r="I62" t="s">
        <v>751</v>
      </c>
      <c r="J62" t="s">
        <v>751</v>
      </c>
      <c r="K62" t="s">
        <v>767</v>
      </c>
    </row>
    <row r="63" spans="2:11" x14ac:dyDescent="0.2">
      <c r="B63" t="s">
        <v>231</v>
      </c>
      <c r="C63" t="s">
        <v>752</v>
      </c>
      <c r="D63" t="s">
        <v>762</v>
      </c>
      <c r="E63" t="s">
        <v>26</v>
      </c>
      <c r="F63" t="s">
        <v>752</v>
      </c>
      <c r="G63" t="s">
        <v>752</v>
      </c>
      <c r="H63" t="s">
        <v>752</v>
      </c>
      <c r="I63" t="s">
        <v>752</v>
      </c>
      <c r="J63" t="s">
        <v>752</v>
      </c>
      <c r="K63" t="s">
        <v>26</v>
      </c>
    </row>
    <row r="64" spans="2:11" x14ac:dyDescent="0.2">
      <c r="B64" t="s">
        <v>231</v>
      </c>
      <c r="C64" t="s">
        <v>753</v>
      </c>
      <c r="D64" t="s">
        <v>753</v>
      </c>
      <c r="E64" t="s">
        <v>753</v>
      </c>
      <c r="F64" t="s">
        <v>753</v>
      </c>
      <c r="G64" t="s">
        <v>753</v>
      </c>
      <c r="H64" t="s">
        <v>753</v>
      </c>
      <c r="I64" t="s">
        <v>753</v>
      </c>
      <c r="J64" t="s">
        <v>753</v>
      </c>
      <c r="K64" t="s">
        <v>753</v>
      </c>
    </row>
    <row r="65" spans="2:11" x14ac:dyDescent="0.2">
      <c r="B65" t="s">
        <v>231</v>
      </c>
      <c r="C65" t="s">
        <v>754</v>
      </c>
      <c r="D65" t="s">
        <v>754</v>
      </c>
      <c r="E65" t="s">
        <v>754</v>
      </c>
      <c r="F65" t="s">
        <v>754</v>
      </c>
      <c r="G65" t="s">
        <v>754</v>
      </c>
      <c r="H65" t="s">
        <v>754</v>
      </c>
      <c r="I65" t="s">
        <v>754</v>
      </c>
      <c r="J65" t="s">
        <v>754</v>
      </c>
      <c r="K65" t="s">
        <v>754</v>
      </c>
    </row>
    <row r="66" spans="2:11" x14ac:dyDescent="0.2">
      <c r="B66" t="s">
        <v>232</v>
      </c>
      <c r="D66" t="s">
        <v>233</v>
      </c>
      <c r="E66" t="s">
        <v>234</v>
      </c>
      <c r="F66" t="s">
        <v>234</v>
      </c>
      <c r="G66" t="s">
        <v>234</v>
      </c>
      <c r="H66" t="s">
        <v>234</v>
      </c>
      <c r="I66" t="s">
        <v>235</v>
      </c>
      <c r="J66" t="s">
        <v>234</v>
      </c>
      <c r="K66" t="s">
        <v>234</v>
      </c>
    </row>
    <row r="67" spans="2:11" x14ac:dyDescent="0.2">
      <c r="B67" t="s">
        <v>232</v>
      </c>
      <c r="D67" t="s">
        <v>236</v>
      </c>
      <c r="E67" t="s">
        <v>237</v>
      </c>
      <c r="F67" s="3" t="s">
        <v>237</v>
      </c>
      <c r="G67" s="3" t="s">
        <v>237</v>
      </c>
      <c r="H67" s="3" t="s">
        <v>237</v>
      </c>
      <c r="I67" s="3" t="s">
        <v>238</v>
      </c>
      <c r="J67" t="s">
        <v>237</v>
      </c>
      <c r="K67" t="s">
        <v>237</v>
      </c>
    </row>
    <row r="68" spans="2:11" x14ac:dyDescent="0.2">
      <c r="B68" t="s">
        <v>232</v>
      </c>
      <c r="D68" t="s">
        <v>239</v>
      </c>
      <c r="E68" t="s">
        <v>240</v>
      </c>
      <c r="F68" s="3" t="s">
        <v>240</v>
      </c>
      <c r="G68" s="3" t="s">
        <v>240</v>
      </c>
      <c r="H68" s="3" t="s">
        <v>240</v>
      </c>
      <c r="I68" s="3" t="s">
        <v>240</v>
      </c>
      <c r="J68" t="s">
        <v>240</v>
      </c>
      <c r="K68" t="s">
        <v>240</v>
      </c>
    </row>
    <row r="69" spans="2:11" x14ac:dyDescent="0.2">
      <c r="B69" t="s">
        <v>232</v>
      </c>
      <c r="D69" t="s">
        <v>241</v>
      </c>
      <c r="E69" t="s">
        <v>242</v>
      </c>
      <c r="F69" s="3" t="s">
        <v>242</v>
      </c>
      <c r="G69" s="3" t="s">
        <v>242</v>
      </c>
      <c r="H69" s="3" t="s">
        <v>242</v>
      </c>
      <c r="I69" s="3" t="s">
        <v>243</v>
      </c>
      <c r="J69" t="s">
        <v>244</v>
      </c>
      <c r="K69" t="s">
        <v>244</v>
      </c>
    </row>
    <row r="70" spans="2:11" ht="14.25" x14ac:dyDescent="0.2">
      <c r="B70" t="s">
        <v>232</v>
      </c>
      <c r="D70" t="s">
        <v>245</v>
      </c>
      <c r="E70" t="s">
        <v>245</v>
      </c>
      <c r="F70" t="s">
        <v>245</v>
      </c>
      <c r="G70" t="s">
        <v>245</v>
      </c>
      <c r="H70" t="s">
        <v>245</v>
      </c>
      <c r="I70" t="s">
        <v>245</v>
      </c>
      <c r="J70" t="s">
        <v>245</v>
      </c>
      <c r="K70" t="s">
        <v>245</v>
      </c>
    </row>
    <row r="71" spans="2:11" x14ac:dyDescent="0.2">
      <c r="B71" t="s">
        <v>232</v>
      </c>
      <c r="D71" t="s">
        <v>246</v>
      </c>
      <c r="E71" t="s">
        <v>246</v>
      </c>
      <c r="F71" s="3" t="s">
        <v>246</v>
      </c>
      <c r="G71" s="3" t="s">
        <v>246</v>
      </c>
      <c r="H71" s="3" t="s">
        <v>246</v>
      </c>
      <c r="I71" s="3" t="s">
        <v>246</v>
      </c>
      <c r="J71" t="s">
        <v>246</v>
      </c>
      <c r="K71" t="s">
        <v>246</v>
      </c>
    </row>
    <row r="72" spans="2:11" x14ac:dyDescent="0.2">
      <c r="B72" t="s">
        <v>232</v>
      </c>
      <c r="D72" t="s">
        <v>247</v>
      </c>
      <c r="E72" t="s">
        <v>247</v>
      </c>
      <c r="F72" s="3" t="s">
        <v>247</v>
      </c>
      <c r="G72" s="3" t="s">
        <v>247</v>
      </c>
      <c r="H72" s="3" t="s">
        <v>247</v>
      </c>
      <c r="I72" s="3" t="s">
        <v>247</v>
      </c>
      <c r="J72" t="s">
        <v>247</v>
      </c>
      <c r="K72" t="s">
        <v>247</v>
      </c>
    </row>
    <row r="73" spans="2:11" x14ac:dyDescent="0.2">
      <c r="B73" t="s">
        <v>232</v>
      </c>
      <c r="D73" t="s">
        <v>248</v>
      </c>
      <c r="E73" t="s">
        <v>249</v>
      </c>
      <c r="F73" s="3" t="s">
        <v>249</v>
      </c>
      <c r="G73" s="3" t="s">
        <v>249</v>
      </c>
      <c r="H73" s="3" t="s">
        <v>249</v>
      </c>
      <c r="I73" s="3" t="s">
        <v>249</v>
      </c>
      <c r="J73" t="s">
        <v>249</v>
      </c>
      <c r="K73" t="s">
        <v>249</v>
      </c>
    </row>
    <row r="74" spans="2:11" x14ac:dyDescent="0.2">
      <c r="B74" t="s">
        <v>250</v>
      </c>
      <c r="D74" t="s">
        <v>251</v>
      </c>
      <c r="E74" t="s">
        <v>252</v>
      </c>
      <c r="F74" s="3" t="s">
        <v>252</v>
      </c>
      <c r="G74" s="3" t="s">
        <v>252</v>
      </c>
      <c r="H74" s="3" t="s">
        <v>252</v>
      </c>
      <c r="I74" s="3" t="s">
        <v>252</v>
      </c>
      <c r="J74" t="s">
        <v>252</v>
      </c>
      <c r="K74" t="s">
        <v>788</v>
      </c>
    </row>
    <row r="75" spans="2:11" x14ac:dyDescent="0.2">
      <c r="B75" t="s">
        <v>250</v>
      </c>
      <c r="D75" t="s">
        <v>253</v>
      </c>
      <c r="E75" t="s">
        <v>254</v>
      </c>
      <c r="F75" s="3" t="s">
        <v>254</v>
      </c>
      <c r="G75" s="3" t="s">
        <v>254</v>
      </c>
      <c r="H75" s="3" t="s">
        <v>254</v>
      </c>
      <c r="I75" s="3" t="s">
        <v>255</v>
      </c>
      <c r="J75" t="s">
        <v>254</v>
      </c>
      <c r="K75" t="s">
        <v>789</v>
      </c>
    </row>
    <row r="76" spans="2:11" x14ac:dyDescent="0.2">
      <c r="B76" t="s">
        <v>256</v>
      </c>
      <c r="D76" t="s">
        <v>257</v>
      </c>
      <c r="E76" t="s">
        <v>257</v>
      </c>
      <c r="F76" s="3" t="s">
        <v>257</v>
      </c>
      <c r="G76" s="3" t="s">
        <v>257</v>
      </c>
      <c r="H76" s="3" t="s">
        <v>257</v>
      </c>
      <c r="I76" s="3" t="s">
        <v>257</v>
      </c>
      <c r="J76" t="s">
        <v>257</v>
      </c>
      <c r="K76" t="s">
        <v>257</v>
      </c>
    </row>
    <row r="77" spans="2:11" x14ac:dyDescent="0.2">
      <c r="B77" t="s">
        <v>258</v>
      </c>
      <c r="D77" t="s">
        <v>259</v>
      </c>
      <c r="E77" t="s">
        <v>260</v>
      </c>
      <c r="F77" t="s">
        <v>260</v>
      </c>
      <c r="G77" t="s">
        <v>260</v>
      </c>
      <c r="H77" t="s">
        <v>260</v>
      </c>
      <c r="I77" t="s">
        <v>261</v>
      </c>
      <c r="J77" t="s">
        <v>260</v>
      </c>
      <c r="K77" t="s">
        <v>790</v>
      </c>
    </row>
    <row r="78" spans="2:11" x14ac:dyDescent="0.2">
      <c r="B78" t="s">
        <v>258</v>
      </c>
      <c r="D78" t="s">
        <v>262</v>
      </c>
      <c r="E78" t="s">
        <v>263</v>
      </c>
      <c r="F78" t="s">
        <v>263</v>
      </c>
      <c r="G78" t="s">
        <v>263</v>
      </c>
      <c r="H78" t="s">
        <v>263</v>
      </c>
      <c r="I78" t="s">
        <v>264</v>
      </c>
      <c r="J78" t="s">
        <v>263</v>
      </c>
      <c r="K78" t="s">
        <v>791</v>
      </c>
    </row>
    <row r="79" spans="2:11" x14ac:dyDescent="0.2">
      <c r="B79" t="s">
        <v>258</v>
      </c>
      <c r="D79" t="s">
        <v>265</v>
      </c>
      <c r="E79" t="s">
        <v>266</v>
      </c>
      <c r="F79" t="s">
        <v>266</v>
      </c>
      <c r="G79" t="s">
        <v>266</v>
      </c>
      <c r="H79" t="s">
        <v>266</v>
      </c>
      <c r="I79" t="s">
        <v>267</v>
      </c>
      <c r="J79" t="s">
        <v>266</v>
      </c>
      <c r="K79" t="s">
        <v>792</v>
      </c>
    </row>
    <row r="80" spans="2:11" x14ac:dyDescent="0.2">
      <c r="B80" t="s">
        <v>258</v>
      </c>
      <c r="D80" t="s">
        <v>268</v>
      </c>
      <c r="E80" t="s">
        <v>269</v>
      </c>
      <c r="F80" t="s">
        <v>269</v>
      </c>
      <c r="G80" t="s">
        <v>269</v>
      </c>
      <c r="H80" t="s">
        <v>269</v>
      </c>
      <c r="I80" t="s">
        <v>270</v>
      </c>
      <c r="J80" t="s">
        <v>269</v>
      </c>
      <c r="K80" t="s">
        <v>793</v>
      </c>
    </row>
    <row r="81" spans="2:11" x14ac:dyDescent="0.2">
      <c r="B81" t="s">
        <v>258</v>
      </c>
      <c r="D81" t="s">
        <v>271</v>
      </c>
      <c r="E81" t="s">
        <v>272</v>
      </c>
      <c r="F81" t="s">
        <v>272</v>
      </c>
      <c r="G81" t="s">
        <v>272</v>
      </c>
      <c r="H81" t="s">
        <v>272</v>
      </c>
      <c r="I81" t="s">
        <v>273</v>
      </c>
      <c r="J81" t="s">
        <v>272</v>
      </c>
      <c r="K81" t="s">
        <v>272</v>
      </c>
    </row>
    <row r="82" spans="2:11" x14ac:dyDescent="0.2">
      <c r="B82" t="s">
        <v>258</v>
      </c>
      <c r="D82" t="s">
        <v>274</v>
      </c>
      <c r="E82" t="s">
        <v>275</v>
      </c>
      <c r="F82" t="s">
        <v>275</v>
      </c>
      <c r="G82" t="s">
        <v>275</v>
      </c>
      <c r="H82" t="s">
        <v>275</v>
      </c>
      <c r="I82" t="s">
        <v>276</v>
      </c>
      <c r="J82" t="s">
        <v>275</v>
      </c>
      <c r="K82" t="s">
        <v>275</v>
      </c>
    </row>
    <row r="83" spans="2:11" x14ac:dyDescent="0.2">
      <c r="B83" t="s">
        <v>258</v>
      </c>
      <c r="D83" t="s">
        <v>277</v>
      </c>
      <c r="E83" t="s">
        <v>278</v>
      </c>
      <c r="F83" t="s">
        <v>278</v>
      </c>
      <c r="G83" t="s">
        <v>278</v>
      </c>
      <c r="H83" t="s">
        <v>278</v>
      </c>
      <c r="I83" t="s">
        <v>279</v>
      </c>
      <c r="J83" t="s">
        <v>278</v>
      </c>
      <c r="K83" t="s">
        <v>794</v>
      </c>
    </row>
    <row r="84" spans="2:11" x14ac:dyDescent="0.2">
      <c r="B84" t="s">
        <v>258</v>
      </c>
      <c r="D84" t="s">
        <v>280</v>
      </c>
      <c r="E84" t="s">
        <v>281</v>
      </c>
      <c r="F84" t="s">
        <v>281</v>
      </c>
      <c r="G84" t="s">
        <v>281</v>
      </c>
      <c r="H84" t="s">
        <v>281</v>
      </c>
      <c r="I84" t="s">
        <v>282</v>
      </c>
      <c r="J84" t="s">
        <v>281</v>
      </c>
      <c r="K84" t="s">
        <v>795</v>
      </c>
    </row>
    <row r="85" spans="2:11" x14ac:dyDescent="0.2">
      <c r="B85" t="s">
        <v>258</v>
      </c>
      <c r="D85" t="s">
        <v>283</v>
      </c>
      <c r="E85" t="s">
        <v>284</v>
      </c>
      <c r="F85" t="s">
        <v>284</v>
      </c>
      <c r="G85" t="s">
        <v>284</v>
      </c>
      <c r="H85" t="s">
        <v>284</v>
      </c>
      <c r="I85" t="s">
        <v>285</v>
      </c>
      <c r="J85" t="s">
        <v>284</v>
      </c>
      <c r="K85" t="s">
        <v>796</v>
      </c>
    </row>
    <row r="86" spans="2:11" x14ac:dyDescent="0.2">
      <c r="B86" t="s">
        <v>258</v>
      </c>
      <c r="D86" t="s">
        <v>286</v>
      </c>
      <c r="E86" t="s">
        <v>287</v>
      </c>
      <c r="F86" t="s">
        <v>287</v>
      </c>
      <c r="G86" t="s">
        <v>287</v>
      </c>
      <c r="H86" t="s">
        <v>287</v>
      </c>
      <c r="I86" t="s">
        <v>288</v>
      </c>
      <c r="J86" t="s">
        <v>287</v>
      </c>
      <c r="K86" t="s">
        <v>797</v>
      </c>
    </row>
    <row r="87" spans="2:11" x14ac:dyDescent="0.2">
      <c r="B87" t="s">
        <v>258</v>
      </c>
      <c r="D87" t="s">
        <v>289</v>
      </c>
      <c r="E87" t="s">
        <v>290</v>
      </c>
      <c r="F87" t="s">
        <v>290</v>
      </c>
      <c r="G87" t="s">
        <v>290</v>
      </c>
      <c r="H87" t="s">
        <v>290</v>
      </c>
      <c r="I87" t="s">
        <v>291</v>
      </c>
      <c r="J87" t="s">
        <v>290</v>
      </c>
      <c r="K87" t="s">
        <v>798</v>
      </c>
    </row>
    <row r="88" spans="2:11" x14ac:dyDescent="0.2">
      <c r="B88" t="s">
        <v>292</v>
      </c>
      <c r="D88" t="s">
        <v>293</v>
      </c>
      <c r="E88" t="s">
        <v>294</v>
      </c>
      <c r="F88" s="3" t="s">
        <v>294</v>
      </c>
      <c r="G88" s="3" t="s">
        <v>294</v>
      </c>
      <c r="H88" s="3" t="s">
        <v>294</v>
      </c>
      <c r="I88" s="3" t="s">
        <v>294</v>
      </c>
      <c r="J88" t="s">
        <v>294</v>
      </c>
      <c r="K88" t="s">
        <v>294</v>
      </c>
    </row>
    <row r="89" spans="2:11" x14ac:dyDescent="0.2">
      <c r="B89" t="s">
        <v>292</v>
      </c>
      <c r="D89" t="s">
        <v>295</v>
      </c>
      <c r="E89" t="s">
        <v>295</v>
      </c>
      <c r="F89" s="3" t="s">
        <v>295</v>
      </c>
      <c r="G89" s="3" t="s">
        <v>295</v>
      </c>
      <c r="H89" s="3" t="s">
        <v>295</v>
      </c>
      <c r="I89" s="3" t="s">
        <v>295</v>
      </c>
      <c r="J89" t="s">
        <v>295</v>
      </c>
      <c r="K89" t="s">
        <v>295</v>
      </c>
    </row>
    <row r="90" spans="2:11" ht="14.25" x14ac:dyDescent="0.2">
      <c r="B90" t="s">
        <v>292</v>
      </c>
      <c r="D90" t="s">
        <v>296</v>
      </c>
      <c r="E90" t="s">
        <v>296</v>
      </c>
      <c r="F90" t="s">
        <v>296</v>
      </c>
      <c r="G90" t="s">
        <v>296</v>
      </c>
      <c r="H90" t="s">
        <v>296</v>
      </c>
      <c r="I90" t="s">
        <v>296</v>
      </c>
      <c r="J90" t="s">
        <v>296</v>
      </c>
      <c r="K90" t="s">
        <v>296</v>
      </c>
    </row>
    <row r="91" spans="2:11" x14ac:dyDescent="0.2">
      <c r="B91" t="s">
        <v>292</v>
      </c>
      <c r="D91" t="s">
        <v>297</v>
      </c>
      <c r="E91" t="s">
        <v>298</v>
      </c>
      <c r="F91" s="3" t="s">
        <v>298</v>
      </c>
      <c r="G91" s="3" t="s">
        <v>298</v>
      </c>
      <c r="H91" s="3" t="s">
        <v>298</v>
      </c>
      <c r="I91" s="3" t="s">
        <v>298</v>
      </c>
      <c r="J91" t="s">
        <v>298</v>
      </c>
      <c r="K91" t="s">
        <v>298</v>
      </c>
    </row>
    <row r="92" spans="2:11" x14ac:dyDescent="0.2">
      <c r="B92" t="s">
        <v>292</v>
      </c>
      <c r="D92" t="s">
        <v>299</v>
      </c>
      <c r="E92" t="s">
        <v>300</v>
      </c>
      <c r="F92" t="s">
        <v>300</v>
      </c>
      <c r="G92" t="s">
        <v>300</v>
      </c>
      <c r="H92" t="s">
        <v>300</v>
      </c>
      <c r="I92" t="s">
        <v>301</v>
      </c>
      <c r="J92" t="s">
        <v>300</v>
      </c>
      <c r="K92" t="s">
        <v>300</v>
      </c>
    </row>
    <row r="93" spans="2:11" x14ac:dyDescent="0.2">
      <c r="B93" t="s">
        <v>292</v>
      </c>
      <c r="D93" t="s">
        <v>302</v>
      </c>
      <c r="E93" t="s">
        <v>303</v>
      </c>
      <c r="F93" t="s">
        <v>303</v>
      </c>
      <c r="G93" t="s">
        <v>303</v>
      </c>
      <c r="H93" t="s">
        <v>303</v>
      </c>
      <c r="I93" t="s">
        <v>302</v>
      </c>
      <c r="J93" t="s">
        <v>303</v>
      </c>
      <c r="K93" t="s">
        <v>303</v>
      </c>
    </row>
    <row r="94" spans="2:11" x14ac:dyDescent="0.2">
      <c r="B94" t="s">
        <v>292</v>
      </c>
      <c r="D94" t="s">
        <v>302</v>
      </c>
      <c r="E94" t="s">
        <v>303</v>
      </c>
      <c r="F94" t="s">
        <v>303</v>
      </c>
      <c r="G94" t="s">
        <v>303</v>
      </c>
      <c r="H94" t="s">
        <v>303</v>
      </c>
      <c r="I94" t="s">
        <v>302</v>
      </c>
      <c r="J94" t="s">
        <v>303</v>
      </c>
      <c r="K94" t="s">
        <v>303</v>
      </c>
    </row>
    <row r="95" spans="2:11" x14ac:dyDescent="0.2">
      <c r="B95" t="s">
        <v>292</v>
      </c>
      <c r="D95" t="s">
        <v>10</v>
      </c>
      <c r="E95" t="s">
        <v>304</v>
      </c>
      <c r="F95" s="3" t="s">
        <v>304</v>
      </c>
      <c r="G95" s="3" t="s">
        <v>304</v>
      </c>
      <c r="H95" s="3" t="s">
        <v>304</v>
      </c>
      <c r="I95" s="3" t="s">
        <v>304</v>
      </c>
      <c r="J95" t="s">
        <v>304</v>
      </c>
      <c r="K95" t="s">
        <v>304</v>
      </c>
    </row>
    <row r="96" spans="2:11" x14ac:dyDescent="0.2">
      <c r="B96" t="s">
        <v>292</v>
      </c>
      <c r="D96" t="s">
        <v>305</v>
      </c>
      <c r="E96" t="s">
        <v>306</v>
      </c>
      <c r="F96" t="s">
        <v>306</v>
      </c>
      <c r="G96" t="s">
        <v>306</v>
      </c>
      <c r="H96" t="s">
        <v>306</v>
      </c>
      <c r="I96" t="s">
        <v>306</v>
      </c>
      <c r="J96" t="s">
        <v>306</v>
      </c>
      <c r="K96" t="s">
        <v>306</v>
      </c>
    </row>
    <row r="97" spans="2:11" x14ac:dyDescent="0.2">
      <c r="B97" t="s">
        <v>292</v>
      </c>
      <c r="D97" t="s">
        <v>307</v>
      </c>
      <c r="E97" t="s">
        <v>308</v>
      </c>
      <c r="F97" t="s">
        <v>308</v>
      </c>
      <c r="G97" t="s">
        <v>308</v>
      </c>
      <c r="H97" t="s">
        <v>308</v>
      </c>
      <c r="I97" t="s">
        <v>308</v>
      </c>
      <c r="J97" t="s">
        <v>308</v>
      </c>
      <c r="K97" t="s">
        <v>308</v>
      </c>
    </row>
    <row r="98" spans="2:11" x14ac:dyDescent="0.2">
      <c r="B98" t="s">
        <v>292</v>
      </c>
      <c r="D98" t="s">
        <v>309</v>
      </c>
      <c r="E98" t="s">
        <v>309</v>
      </c>
      <c r="F98" t="s">
        <v>309</v>
      </c>
      <c r="G98" t="s">
        <v>309</v>
      </c>
      <c r="H98" t="s">
        <v>309</v>
      </c>
      <c r="I98" t="s">
        <v>309</v>
      </c>
      <c r="J98" t="s">
        <v>309</v>
      </c>
      <c r="K98" t="s">
        <v>309</v>
      </c>
    </row>
    <row r="99" spans="2:11" x14ac:dyDescent="0.2">
      <c r="B99" t="s">
        <v>292</v>
      </c>
      <c r="D99" t="s">
        <v>310</v>
      </c>
      <c r="E99" t="s">
        <v>310</v>
      </c>
      <c r="F99" t="s">
        <v>310</v>
      </c>
      <c r="G99" t="s">
        <v>310</v>
      </c>
      <c r="H99" t="s">
        <v>310</v>
      </c>
      <c r="I99" t="s">
        <v>310</v>
      </c>
      <c r="J99" t="s">
        <v>310</v>
      </c>
      <c r="K99" t="s">
        <v>310</v>
      </c>
    </row>
    <row r="100" spans="2:11" x14ac:dyDescent="0.2">
      <c r="B100" t="s">
        <v>292</v>
      </c>
      <c r="D100" t="s">
        <v>311</v>
      </c>
      <c r="E100" t="s">
        <v>312</v>
      </c>
      <c r="F100" s="3" t="s">
        <v>312</v>
      </c>
      <c r="G100" s="3" t="s">
        <v>312</v>
      </c>
      <c r="H100" s="3" t="s">
        <v>312</v>
      </c>
      <c r="I100" s="3" t="s">
        <v>313</v>
      </c>
      <c r="J100" t="s">
        <v>312</v>
      </c>
      <c r="K100" t="s">
        <v>312</v>
      </c>
    </row>
    <row r="101" spans="2:11" x14ac:dyDescent="0.2">
      <c r="B101" t="s">
        <v>292</v>
      </c>
      <c r="D101" t="s">
        <v>314</v>
      </c>
      <c r="E101" t="s">
        <v>314</v>
      </c>
      <c r="F101" s="3" t="s">
        <v>314</v>
      </c>
      <c r="G101" s="3" t="s">
        <v>314</v>
      </c>
      <c r="H101" s="3" t="s">
        <v>314</v>
      </c>
      <c r="I101" s="3" t="s">
        <v>314</v>
      </c>
      <c r="J101" t="s">
        <v>314</v>
      </c>
      <c r="K101" t="s">
        <v>314</v>
      </c>
    </row>
    <row r="102" spans="2:11" x14ac:dyDescent="0.2">
      <c r="B102" t="s">
        <v>292</v>
      </c>
      <c r="D102" t="s">
        <v>315</v>
      </c>
      <c r="E102" t="s">
        <v>315</v>
      </c>
      <c r="F102" s="3" t="s">
        <v>315</v>
      </c>
      <c r="G102" s="3" t="s">
        <v>315</v>
      </c>
      <c r="H102" s="3" t="s">
        <v>315</v>
      </c>
      <c r="I102" s="3" t="s">
        <v>315</v>
      </c>
      <c r="J102" t="s">
        <v>315</v>
      </c>
      <c r="K102" t="s">
        <v>315</v>
      </c>
    </row>
    <row r="103" spans="2:11" x14ac:dyDescent="0.2">
      <c r="B103" t="s">
        <v>292</v>
      </c>
      <c r="D103" t="s">
        <v>316</v>
      </c>
      <c r="E103" t="s">
        <v>317</v>
      </c>
      <c r="F103" t="s">
        <v>317</v>
      </c>
      <c r="G103" t="s">
        <v>317</v>
      </c>
      <c r="H103" t="s">
        <v>317</v>
      </c>
      <c r="I103" t="s">
        <v>318</v>
      </c>
      <c r="J103" t="s">
        <v>317</v>
      </c>
      <c r="K103" t="s">
        <v>317</v>
      </c>
    </row>
    <row r="104" spans="2:11" x14ac:dyDescent="0.2">
      <c r="B104" t="s">
        <v>292</v>
      </c>
      <c r="D104" t="s">
        <v>258</v>
      </c>
      <c r="E104" t="s">
        <v>258</v>
      </c>
      <c r="F104" t="s">
        <v>258</v>
      </c>
      <c r="G104" t="s">
        <v>258</v>
      </c>
      <c r="H104" t="s">
        <v>258</v>
      </c>
      <c r="I104" t="s">
        <v>258</v>
      </c>
      <c r="J104" t="s">
        <v>258</v>
      </c>
      <c r="K104" t="s">
        <v>258</v>
      </c>
    </row>
    <row r="105" spans="2:11" x14ac:dyDescent="0.2">
      <c r="B105" t="s">
        <v>292</v>
      </c>
      <c r="D105" t="s">
        <v>319</v>
      </c>
      <c r="E105" t="s">
        <v>320</v>
      </c>
      <c r="F105" s="3" t="s">
        <v>320</v>
      </c>
      <c r="G105" s="3" t="s">
        <v>320</v>
      </c>
      <c r="H105" s="3" t="s">
        <v>320</v>
      </c>
      <c r="I105" s="3" t="s">
        <v>320</v>
      </c>
      <c r="J105" t="s">
        <v>320</v>
      </c>
      <c r="K105" t="s">
        <v>320</v>
      </c>
    </row>
    <row r="106" spans="2:11" x14ac:dyDescent="0.2">
      <c r="B106" t="s">
        <v>292</v>
      </c>
      <c r="D106" t="s">
        <v>321</v>
      </c>
      <c r="E106" t="s">
        <v>322</v>
      </c>
      <c r="F106" s="3" t="s">
        <v>322</v>
      </c>
      <c r="G106" s="3" t="s">
        <v>322</v>
      </c>
      <c r="H106" s="3" t="s">
        <v>322</v>
      </c>
      <c r="I106" s="3" t="s">
        <v>323</v>
      </c>
      <c r="J106" t="s">
        <v>322</v>
      </c>
      <c r="K106" t="s">
        <v>322</v>
      </c>
    </row>
    <row r="107" spans="2:11" x14ac:dyDescent="0.2">
      <c r="B107" t="s">
        <v>292</v>
      </c>
      <c r="D107" t="s">
        <v>324</v>
      </c>
      <c r="E107" t="s">
        <v>324</v>
      </c>
      <c r="F107" t="s">
        <v>324</v>
      </c>
      <c r="G107" t="s">
        <v>324</v>
      </c>
      <c r="H107" t="s">
        <v>324</v>
      </c>
      <c r="I107" t="s">
        <v>324</v>
      </c>
      <c r="J107" t="s">
        <v>324</v>
      </c>
      <c r="K107" t="s">
        <v>324</v>
      </c>
    </row>
    <row r="108" spans="2:11" x14ac:dyDescent="0.2">
      <c r="B108" t="s">
        <v>292</v>
      </c>
      <c r="D108" t="s">
        <v>325</v>
      </c>
      <c r="E108" t="s">
        <v>326</v>
      </c>
      <c r="F108" t="s">
        <v>326</v>
      </c>
      <c r="G108" t="s">
        <v>326</v>
      </c>
      <c r="H108" t="s">
        <v>326</v>
      </c>
      <c r="I108" t="s">
        <v>327</v>
      </c>
      <c r="J108" t="s">
        <v>326</v>
      </c>
      <c r="K108" t="s">
        <v>326</v>
      </c>
    </row>
    <row r="109" spans="2:11" x14ac:dyDescent="0.2">
      <c r="B109" t="s">
        <v>292</v>
      </c>
      <c r="D109" t="s">
        <v>328</v>
      </c>
      <c r="E109" t="s">
        <v>328</v>
      </c>
      <c r="F109" t="s">
        <v>328</v>
      </c>
      <c r="G109" t="s">
        <v>328</v>
      </c>
      <c r="H109" t="s">
        <v>328</v>
      </c>
      <c r="I109" t="s">
        <v>328</v>
      </c>
      <c r="J109" t="s">
        <v>328</v>
      </c>
      <c r="K109" t="s">
        <v>328</v>
      </c>
    </row>
    <row r="110" spans="2:11" x14ac:dyDescent="0.2">
      <c r="B110" t="s">
        <v>292</v>
      </c>
      <c r="D110" t="s">
        <v>329</v>
      </c>
      <c r="E110" t="s">
        <v>329</v>
      </c>
      <c r="F110" t="s">
        <v>329</v>
      </c>
      <c r="G110" t="s">
        <v>329</v>
      </c>
      <c r="H110" t="s">
        <v>329</v>
      </c>
      <c r="I110" t="s">
        <v>329</v>
      </c>
      <c r="J110" t="s">
        <v>329</v>
      </c>
      <c r="K110" t="s">
        <v>329</v>
      </c>
    </row>
    <row r="111" spans="2:11" x14ac:dyDescent="0.2">
      <c r="B111" t="s">
        <v>292</v>
      </c>
      <c r="D111" t="s">
        <v>330</v>
      </c>
      <c r="E111" t="s">
        <v>330</v>
      </c>
      <c r="F111" t="s">
        <v>330</v>
      </c>
      <c r="G111" t="s">
        <v>330</v>
      </c>
      <c r="H111" t="s">
        <v>330</v>
      </c>
      <c r="I111" t="s">
        <v>330</v>
      </c>
      <c r="J111" t="s">
        <v>330</v>
      </c>
      <c r="K111" t="s">
        <v>330</v>
      </c>
    </row>
    <row r="112" spans="2:11" x14ac:dyDescent="0.2">
      <c r="B112" t="s">
        <v>292</v>
      </c>
      <c r="D112" t="s">
        <v>331</v>
      </c>
      <c r="E112" t="s">
        <v>332</v>
      </c>
      <c r="F112" t="s">
        <v>332</v>
      </c>
      <c r="G112" t="s">
        <v>332</v>
      </c>
      <c r="H112" t="s">
        <v>332</v>
      </c>
      <c r="I112" t="s">
        <v>332</v>
      </c>
      <c r="J112" t="s">
        <v>332</v>
      </c>
      <c r="K112" t="s">
        <v>332</v>
      </c>
    </row>
    <row r="113" spans="2:11" x14ac:dyDescent="0.2">
      <c r="B113" t="s">
        <v>292</v>
      </c>
      <c r="D113" t="s">
        <v>333</v>
      </c>
      <c r="E113" t="s">
        <v>333</v>
      </c>
      <c r="F113" t="s">
        <v>333</v>
      </c>
      <c r="G113" t="s">
        <v>333</v>
      </c>
      <c r="H113" t="s">
        <v>333</v>
      </c>
      <c r="I113" t="s">
        <v>334</v>
      </c>
      <c r="J113" t="s">
        <v>333</v>
      </c>
      <c r="K113" t="s">
        <v>333</v>
      </c>
    </row>
    <row r="114" spans="2:11" x14ac:dyDescent="0.2">
      <c r="B114" t="s">
        <v>335</v>
      </c>
      <c r="D114" t="s">
        <v>336</v>
      </c>
      <c r="E114" t="s">
        <v>337</v>
      </c>
      <c r="F114" t="s">
        <v>337</v>
      </c>
      <c r="G114" t="s">
        <v>337</v>
      </c>
      <c r="H114" t="s">
        <v>337</v>
      </c>
      <c r="I114" t="s">
        <v>337</v>
      </c>
      <c r="J114" t="s">
        <v>337</v>
      </c>
      <c r="K114" t="s">
        <v>337</v>
      </c>
    </row>
    <row r="115" spans="2:11" x14ac:dyDescent="0.2">
      <c r="B115" t="s">
        <v>316</v>
      </c>
      <c r="D115" t="s">
        <v>338</v>
      </c>
      <c r="E115" t="s">
        <v>339</v>
      </c>
      <c r="F115" t="s">
        <v>339</v>
      </c>
      <c r="G115" t="s">
        <v>339</v>
      </c>
      <c r="H115" t="s">
        <v>339</v>
      </c>
      <c r="I115" t="s">
        <v>339</v>
      </c>
      <c r="J115" t="s">
        <v>339</v>
      </c>
      <c r="K115" t="s">
        <v>339</v>
      </c>
    </row>
    <row r="116" spans="2:11" x14ac:dyDescent="0.2">
      <c r="B116" t="s">
        <v>340</v>
      </c>
      <c r="D116" t="s">
        <v>341</v>
      </c>
      <c r="E116" t="s">
        <v>342</v>
      </c>
      <c r="F116" t="s">
        <v>342</v>
      </c>
      <c r="G116" t="s">
        <v>342</v>
      </c>
      <c r="H116" t="s">
        <v>342</v>
      </c>
      <c r="I116" t="s">
        <v>343</v>
      </c>
      <c r="J116" t="s">
        <v>342</v>
      </c>
      <c r="K116" t="s">
        <v>342</v>
      </c>
    </row>
    <row r="117" spans="2:11" x14ac:dyDescent="0.2">
      <c r="B117" t="s">
        <v>324</v>
      </c>
      <c r="D117" t="s">
        <v>344</v>
      </c>
      <c r="E117" t="s">
        <v>344</v>
      </c>
      <c r="F117" t="s">
        <v>344</v>
      </c>
      <c r="G117" t="s">
        <v>344</v>
      </c>
      <c r="H117" t="s">
        <v>344</v>
      </c>
      <c r="I117" t="s">
        <v>345</v>
      </c>
      <c r="J117" t="s">
        <v>344</v>
      </c>
      <c r="K117" t="s">
        <v>344</v>
      </c>
    </row>
    <row r="118" spans="2:11" x14ac:dyDescent="0.2">
      <c r="B118" t="s">
        <v>324</v>
      </c>
      <c r="D118" t="s">
        <v>346</v>
      </c>
      <c r="E118" t="s">
        <v>346</v>
      </c>
      <c r="F118" t="s">
        <v>346</v>
      </c>
      <c r="G118" t="s">
        <v>346</v>
      </c>
      <c r="H118" t="s">
        <v>346</v>
      </c>
      <c r="I118" t="s">
        <v>347</v>
      </c>
      <c r="J118" t="s">
        <v>346</v>
      </c>
      <c r="K118" t="s">
        <v>346</v>
      </c>
    </row>
    <row r="119" spans="2:11" x14ac:dyDescent="0.2">
      <c r="B119" t="s">
        <v>348</v>
      </c>
      <c r="D119" t="s">
        <v>349</v>
      </c>
      <c r="E119" t="s">
        <v>350</v>
      </c>
      <c r="F119" s="3" t="s">
        <v>350</v>
      </c>
      <c r="G119" s="3" t="s">
        <v>350</v>
      </c>
      <c r="H119" s="3" t="s">
        <v>350</v>
      </c>
      <c r="I119" s="3" t="s">
        <v>351</v>
      </c>
      <c r="J119" t="s">
        <v>350</v>
      </c>
      <c r="K119" t="s">
        <v>350</v>
      </c>
    </row>
    <row r="120" spans="2:11" x14ac:dyDescent="0.2">
      <c r="B120" t="s">
        <v>348</v>
      </c>
      <c r="D120" t="s">
        <v>352</v>
      </c>
      <c r="E120" t="s">
        <v>353</v>
      </c>
      <c r="F120" s="3" t="s">
        <v>353</v>
      </c>
      <c r="G120" s="3" t="s">
        <v>353</v>
      </c>
      <c r="H120" s="3" t="s">
        <v>353</v>
      </c>
      <c r="I120" s="3" t="s">
        <v>354</v>
      </c>
      <c r="J120" t="s">
        <v>353</v>
      </c>
      <c r="K120" t="s">
        <v>353</v>
      </c>
    </row>
    <row r="121" spans="2:11" x14ac:dyDescent="0.2">
      <c r="B121" t="s">
        <v>348</v>
      </c>
      <c r="D121" t="s">
        <v>355</v>
      </c>
      <c r="E121" t="s">
        <v>356</v>
      </c>
      <c r="F121" s="3" t="s">
        <v>356</v>
      </c>
      <c r="G121" s="3" t="s">
        <v>356</v>
      </c>
      <c r="H121" s="3" t="s">
        <v>356</v>
      </c>
      <c r="I121" s="3" t="s">
        <v>356</v>
      </c>
      <c r="J121" t="s">
        <v>356</v>
      </c>
      <c r="K121" t="s">
        <v>356</v>
      </c>
    </row>
    <row r="122" spans="2:11" x14ac:dyDescent="0.2">
      <c r="B122" t="s">
        <v>357</v>
      </c>
      <c r="D122" t="s">
        <v>358</v>
      </c>
      <c r="E122" t="s">
        <v>359</v>
      </c>
      <c r="F122" s="3" t="s">
        <v>359</v>
      </c>
      <c r="G122" s="3" t="s">
        <v>359</v>
      </c>
      <c r="H122" s="3" t="s">
        <v>359</v>
      </c>
      <c r="I122" s="3" t="s">
        <v>360</v>
      </c>
      <c r="J122" t="s">
        <v>359</v>
      </c>
      <c r="K122" t="s">
        <v>359</v>
      </c>
    </row>
    <row r="123" spans="2:11" x14ac:dyDescent="0.2">
      <c r="B123" t="s">
        <v>357</v>
      </c>
      <c r="D123" t="s">
        <v>361</v>
      </c>
      <c r="E123" t="s">
        <v>362</v>
      </c>
      <c r="F123" s="3" t="s">
        <v>362</v>
      </c>
      <c r="G123" s="3" t="s">
        <v>362</v>
      </c>
      <c r="H123" s="3" t="s">
        <v>362</v>
      </c>
      <c r="I123" s="3" t="s">
        <v>363</v>
      </c>
      <c r="J123" t="s">
        <v>362</v>
      </c>
      <c r="K123" t="s">
        <v>362</v>
      </c>
    </row>
    <row r="124" spans="2:11" x14ac:dyDescent="0.2">
      <c r="B124" t="s">
        <v>357</v>
      </c>
      <c r="D124" t="s">
        <v>364</v>
      </c>
      <c r="E124" t="s">
        <v>365</v>
      </c>
      <c r="F124" s="3" t="s">
        <v>365</v>
      </c>
      <c r="G124" s="3" t="s">
        <v>365</v>
      </c>
      <c r="H124" s="3" t="s">
        <v>365</v>
      </c>
      <c r="I124" s="3" t="s">
        <v>366</v>
      </c>
      <c r="J124" t="s">
        <v>365</v>
      </c>
      <c r="K124" t="s">
        <v>799</v>
      </c>
    </row>
    <row r="125" spans="2:11" x14ac:dyDescent="0.2">
      <c r="B125" t="s">
        <v>357</v>
      </c>
      <c r="D125" t="s">
        <v>367</v>
      </c>
      <c r="E125" t="s">
        <v>368</v>
      </c>
      <c r="F125" s="3" t="s">
        <v>368</v>
      </c>
      <c r="G125" s="3" t="s">
        <v>368</v>
      </c>
      <c r="H125" s="3" t="s">
        <v>368</v>
      </c>
      <c r="I125" s="3" t="s">
        <v>369</v>
      </c>
      <c r="J125" t="s">
        <v>368</v>
      </c>
      <c r="K125" t="s">
        <v>800</v>
      </c>
    </row>
    <row r="126" spans="2:11" x14ac:dyDescent="0.2">
      <c r="B126" t="s">
        <v>357</v>
      </c>
      <c r="D126" t="s">
        <v>370</v>
      </c>
      <c r="E126" t="s">
        <v>371</v>
      </c>
      <c r="F126" s="3" t="s">
        <v>371</v>
      </c>
      <c r="G126" s="3" t="s">
        <v>371</v>
      </c>
      <c r="H126" s="3" t="s">
        <v>371</v>
      </c>
      <c r="I126" s="3" t="s">
        <v>372</v>
      </c>
      <c r="J126" t="s">
        <v>371</v>
      </c>
      <c r="K126" t="s">
        <v>801</v>
      </c>
    </row>
    <row r="127" spans="2:11" x14ac:dyDescent="0.2">
      <c r="B127" t="s">
        <v>357</v>
      </c>
      <c r="D127" t="s">
        <v>373</v>
      </c>
      <c r="E127" t="s">
        <v>374</v>
      </c>
      <c r="F127" s="3" t="s">
        <v>374</v>
      </c>
      <c r="G127" s="3" t="s">
        <v>374</v>
      </c>
      <c r="H127" s="3" t="s">
        <v>374</v>
      </c>
      <c r="I127" s="3" t="s">
        <v>375</v>
      </c>
      <c r="J127" t="s">
        <v>374</v>
      </c>
      <c r="K127" t="s">
        <v>802</v>
      </c>
    </row>
    <row r="128" spans="2:11" x14ac:dyDescent="0.2">
      <c r="B128" t="s">
        <v>376</v>
      </c>
      <c r="D128" t="s">
        <v>377</v>
      </c>
      <c r="E128" s="83" t="s">
        <v>378</v>
      </c>
      <c r="F128" t="s">
        <v>378</v>
      </c>
      <c r="G128" t="s">
        <v>378</v>
      </c>
      <c r="H128" t="s">
        <v>378</v>
      </c>
      <c r="I128" t="s">
        <v>377</v>
      </c>
      <c r="J128" t="s">
        <v>378</v>
      </c>
      <c r="K128" t="s">
        <v>378</v>
      </c>
    </row>
    <row r="129" spans="2:11" x14ac:dyDescent="0.2">
      <c r="B129" t="s">
        <v>376</v>
      </c>
      <c r="D129" t="s">
        <v>379</v>
      </c>
      <c r="E129" t="s">
        <v>379</v>
      </c>
      <c r="F129" t="s">
        <v>380</v>
      </c>
      <c r="G129" t="s">
        <v>380</v>
      </c>
      <c r="H129" t="s">
        <v>380</v>
      </c>
      <c r="I129" t="s">
        <v>379</v>
      </c>
      <c r="J129" t="s">
        <v>380</v>
      </c>
      <c r="K129" t="s">
        <v>380</v>
      </c>
    </row>
    <row r="130" spans="2:11" x14ac:dyDescent="0.2">
      <c r="B130" t="s">
        <v>376</v>
      </c>
      <c r="D130" t="s">
        <v>381</v>
      </c>
      <c r="E130" t="s">
        <v>381</v>
      </c>
      <c r="F130" t="s">
        <v>381</v>
      </c>
      <c r="G130" t="s">
        <v>381</v>
      </c>
      <c r="H130" t="s">
        <v>381</v>
      </c>
      <c r="I130" t="s">
        <v>381</v>
      </c>
      <c r="J130" t="s">
        <v>381</v>
      </c>
      <c r="K130" t="s">
        <v>381</v>
      </c>
    </row>
    <row r="131" spans="2:11" x14ac:dyDescent="0.2">
      <c r="B131" t="s">
        <v>382</v>
      </c>
      <c r="D131" t="s">
        <v>383</v>
      </c>
      <c r="E131" t="s">
        <v>383</v>
      </c>
      <c r="F131" t="s">
        <v>384</v>
      </c>
      <c r="G131" t="s">
        <v>384</v>
      </c>
      <c r="H131" t="s">
        <v>384</v>
      </c>
      <c r="I131" t="s">
        <v>385</v>
      </c>
      <c r="J131" t="s">
        <v>384</v>
      </c>
      <c r="K131" t="s">
        <v>384</v>
      </c>
    </row>
    <row r="132" spans="2:11" x14ac:dyDescent="0.2">
      <c r="B132" t="s">
        <v>382</v>
      </c>
      <c r="D132" t="s">
        <v>386</v>
      </c>
      <c r="E132" t="s">
        <v>386</v>
      </c>
      <c r="F132" t="s">
        <v>387</v>
      </c>
      <c r="G132" t="s">
        <v>387</v>
      </c>
      <c r="H132" t="s">
        <v>387</v>
      </c>
      <c r="I132" t="s">
        <v>388</v>
      </c>
      <c r="J132" t="s">
        <v>387</v>
      </c>
      <c r="K132" t="s">
        <v>386</v>
      </c>
    </row>
    <row r="133" spans="2:11" x14ac:dyDescent="0.2">
      <c r="B133" t="s">
        <v>382</v>
      </c>
      <c r="D133" t="s">
        <v>389</v>
      </c>
      <c r="E133" t="s">
        <v>389</v>
      </c>
      <c r="F133" t="s">
        <v>390</v>
      </c>
      <c r="G133" t="s">
        <v>390</v>
      </c>
      <c r="H133" t="s">
        <v>390</v>
      </c>
      <c r="I133" t="s">
        <v>389</v>
      </c>
      <c r="J133" t="s">
        <v>390</v>
      </c>
      <c r="K133" t="s">
        <v>390</v>
      </c>
    </row>
    <row r="134" spans="2:11" x14ac:dyDescent="0.2">
      <c r="B134" t="s">
        <v>382</v>
      </c>
      <c r="D134" t="s">
        <v>391</v>
      </c>
      <c r="E134" t="s">
        <v>391</v>
      </c>
      <c r="F134" t="s">
        <v>391</v>
      </c>
      <c r="G134" t="s">
        <v>391</v>
      </c>
      <c r="H134" t="s">
        <v>391</v>
      </c>
      <c r="I134" t="s">
        <v>391</v>
      </c>
      <c r="J134" t="s">
        <v>391</v>
      </c>
      <c r="K134" t="s">
        <v>391</v>
      </c>
    </row>
    <row r="135" spans="2:11" x14ac:dyDescent="0.2">
      <c r="B135" t="s">
        <v>382</v>
      </c>
      <c r="D135" t="s">
        <v>329</v>
      </c>
      <c r="E135" t="s">
        <v>329</v>
      </c>
      <c r="F135" t="s">
        <v>329</v>
      </c>
      <c r="G135" t="s">
        <v>329</v>
      </c>
      <c r="H135" t="s">
        <v>329</v>
      </c>
      <c r="I135" t="s">
        <v>329</v>
      </c>
      <c r="J135" t="s">
        <v>329</v>
      </c>
      <c r="K135" t="s">
        <v>329</v>
      </c>
    </row>
    <row r="136" spans="2:11" x14ac:dyDescent="0.2">
      <c r="B136" t="s">
        <v>382</v>
      </c>
      <c r="D136" t="s">
        <v>328</v>
      </c>
      <c r="E136" t="s">
        <v>328</v>
      </c>
      <c r="F136" t="s">
        <v>328</v>
      </c>
      <c r="G136" t="s">
        <v>328</v>
      </c>
      <c r="H136" t="s">
        <v>328</v>
      </c>
      <c r="I136" t="s">
        <v>328</v>
      </c>
      <c r="J136" t="s">
        <v>328</v>
      </c>
      <c r="K136" t="s">
        <v>328</v>
      </c>
    </row>
    <row r="137" spans="2:11" x14ac:dyDescent="0.2">
      <c r="B137" t="s">
        <v>382</v>
      </c>
      <c r="D137" t="s">
        <v>392</v>
      </c>
      <c r="E137" t="s">
        <v>392</v>
      </c>
      <c r="F137" t="s">
        <v>393</v>
      </c>
      <c r="G137" t="s">
        <v>393</v>
      </c>
      <c r="H137" t="s">
        <v>393</v>
      </c>
      <c r="I137" t="s">
        <v>392</v>
      </c>
      <c r="J137" t="s">
        <v>393</v>
      </c>
      <c r="K137" t="s">
        <v>392</v>
      </c>
    </row>
    <row r="138" spans="2:11" x14ac:dyDescent="0.2">
      <c r="B138" t="s">
        <v>382</v>
      </c>
      <c r="D138" t="s">
        <v>394</v>
      </c>
      <c r="E138" t="s">
        <v>394</v>
      </c>
      <c r="F138" t="s">
        <v>395</v>
      </c>
      <c r="G138" t="s">
        <v>395</v>
      </c>
      <c r="H138" t="s">
        <v>395</v>
      </c>
      <c r="I138" t="s">
        <v>396</v>
      </c>
      <c r="J138" t="s">
        <v>395</v>
      </c>
      <c r="K138" t="s">
        <v>394</v>
      </c>
    </row>
    <row r="139" spans="2:11" x14ac:dyDescent="0.2">
      <c r="B139" t="s">
        <v>382</v>
      </c>
      <c r="D139" t="s">
        <v>397</v>
      </c>
      <c r="E139" t="s">
        <v>397</v>
      </c>
      <c r="F139" t="s">
        <v>398</v>
      </c>
      <c r="G139" t="s">
        <v>398</v>
      </c>
      <c r="H139" t="s">
        <v>398</v>
      </c>
      <c r="I139" t="s">
        <v>399</v>
      </c>
      <c r="J139" t="s">
        <v>398</v>
      </c>
      <c r="K139" t="s">
        <v>397</v>
      </c>
    </row>
    <row r="140" spans="2:11" x14ac:dyDescent="0.2">
      <c r="B140" t="s">
        <v>382</v>
      </c>
      <c r="D140" t="s">
        <v>400</v>
      </c>
      <c r="E140" t="s">
        <v>400</v>
      </c>
      <c r="F140" t="s">
        <v>401</v>
      </c>
      <c r="G140" t="s">
        <v>401</v>
      </c>
      <c r="H140" t="s">
        <v>401</v>
      </c>
      <c r="I140" t="s">
        <v>401</v>
      </c>
      <c r="J140" t="s">
        <v>401</v>
      </c>
      <c r="K140" t="s">
        <v>401</v>
      </c>
    </row>
    <row r="141" spans="2:11" x14ac:dyDescent="0.2">
      <c r="B141" t="s">
        <v>382</v>
      </c>
      <c r="D141" t="s">
        <v>316</v>
      </c>
      <c r="E141" t="s">
        <v>316</v>
      </c>
      <c r="F141" t="s">
        <v>317</v>
      </c>
      <c r="G141" t="s">
        <v>317</v>
      </c>
      <c r="H141" t="s">
        <v>317</v>
      </c>
      <c r="I141" t="s">
        <v>318</v>
      </c>
      <c r="J141" t="s">
        <v>317</v>
      </c>
      <c r="K141" t="s">
        <v>317</v>
      </c>
    </row>
    <row r="142" spans="2:11" x14ac:dyDescent="0.2">
      <c r="B142" t="s">
        <v>315</v>
      </c>
      <c r="D142" t="s">
        <v>402</v>
      </c>
      <c r="E142" t="s">
        <v>403</v>
      </c>
      <c r="F142" s="3" t="s">
        <v>403</v>
      </c>
      <c r="G142" s="3" t="s">
        <v>403</v>
      </c>
      <c r="H142" s="3" t="s">
        <v>403</v>
      </c>
      <c r="I142" s="3" t="s">
        <v>404</v>
      </c>
      <c r="J142" t="s">
        <v>403</v>
      </c>
      <c r="K142" t="s">
        <v>403</v>
      </c>
    </row>
    <row r="143" spans="2:11" x14ac:dyDescent="0.2">
      <c r="B143" t="s">
        <v>315</v>
      </c>
      <c r="D143" t="s">
        <v>405</v>
      </c>
      <c r="E143" t="s">
        <v>406</v>
      </c>
      <c r="F143" s="3" t="s">
        <v>406</v>
      </c>
      <c r="G143" s="3" t="s">
        <v>406</v>
      </c>
      <c r="H143" s="3" t="s">
        <v>406</v>
      </c>
      <c r="I143" s="3" t="s">
        <v>407</v>
      </c>
      <c r="J143" t="s">
        <v>406</v>
      </c>
      <c r="K143" t="s">
        <v>406</v>
      </c>
    </row>
    <row r="144" spans="2:11" x14ac:dyDescent="0.2">
      <c r="B144" t="s">
        <v>315</v>
      </c>
      <c r="D144" t="s">
        <v>377</v>
      </c>
      <c r="E144" t="s">
        <v>378</v>
      </c>
      <c r="F144" s="3" t="s">
        <v>378</v>
      </c>
      <c r="G144" s="3" t="s">
        <v>378</v>
      </c>
      <c r="H144" s="3" t="s">
        <v>378</v>
      </c>
      <c r="I144" s="3" t="s">
        <v>408</v>
      </c>
      <c r="J144" t="s">
        <v>378</v>
      </c>
      <c r="K144" t="s">
        <v>378</v>
      </c>
    </row>
    <row r="145" spans="2:11" x14ac:dyDescent="0.2">
      <c r="B145" t="s">
        <v>315</v>
      </c>
      <c r="D145" t="s">
        <v>409</v>
      </c>
      <c r="E145" t="s">
        <v>410</v>
      </c>
      <c r="F145" s="3" t="s">
        <v>410</v>
      </c>
      <c r="G145" s="3" t="s">
        <v>410</v>
      </c>
      <c r="H145" s="3" t="s">
        <v>410</v>
      </c>
      <c r="I145" s="3" t="s">
        <v>411</v>
      </c>
      <c r="J145" t="s">
        <v>410</v>
      </c>
      <c r="K145" t="s">
        <v>410</v>
      </c>
    </row>
    <row r="146" spans="2:11" x14ac:dyDescent="0.2">
      <c r="B146" t="s">
        <v>315</v>
      </c>
      <c r="D146" t="s">
        <v>315</v>
      </c>
      <c r="E146" t="s">
        <v>315</v>
      </c>
      <c r="F146" s="3" t="s">
        <v>315</v>
      </c>
      <c r="G146" s="3" t="s">
        <v>315</v>
      </c>
      <c r="H146" s="3" t="s">
        <v>315</v>
      </c>
      <c r="I146" s="3" t="s">
        <v>315</v>
      </c>
      <c r="J146" t="s">
        <v>315</v>
      </c>
      <c r="K146" t="s">
        <v>315</v>
      </c>
    </row>
    <row r="147" spans="2:11" x14ac:dyDescent="0.2">
      <c r="B147" t="s">
        <v>315</v>
      </c>
      <c r="D147" t="s">
        <v>412</v>
      </c>
      <c r="E147" t="s">
        <v>413</v>
      </c>
      <c r="F147" s="3" t="s">
        <v>413</v>
      </c>
      <c r="G147" s="3" t="s">
        <v>413</v>
      </c>
      <c r="H147" s="3" t="s">
        <v>413</v>
      </c>
      <c r="I147" s="3" t="s">
        <v>414</v>
      </c>
      <c r="J147" t="s">
        <v>413</v>
      </c>
      <c r="K147" t="s">
        <v>413</v>
      </c>
    </row>
    <row r="148" spans="2:11" x14ac:dyDescent="0.2">
      <c r="B148" t="s">
        <v>315</v>
      </c>
      <c r="D148" t="s">
        <v>415</v>
      </c>
      <c r="E148" t="s">
        <v>416</v>
      </c>
      <c r="F148" s="3" t="s">
        <v>416</v>
      </c>
      <c r="G148" s="3" t="s">
        <v>416</v>
      </c>
      <c r="H148" s="3" t="s">
        <v>416</v>
      </c>
      <c r="I148" s="3" t="s">
        <v>417</v>
      </c>
      <c r="J148" t="s">
        <v>416</v>
      </c>
      <c r="K148" t="s">
        <v>416</v>
      </c>
    </row>
    <row r="149" spans="2:11" x14ac:dyDescent="0.2">
      <c r="B149" t="s">
        <v>315</v>
      </c>
      <c r="D149" t="s">
        <v>418</v>
      </c>
      <c r="E149" t="s">
        <v>419</v>
      </c>
      <c r="F149" s="3" t="s">
        <v>419</v>
      </c>
      <c r="G149" s="3" t="s">
        <v>419</v>
      </c>
      <c r="H149" s="3" t="s">
        <v>419</v>
      </c>
      <c r="I149" s="3" t="s">
        <v>420</v>
      </c>
      <c r="J149" t="s">
        <v>419</v>
      </c>
      <c r="K149" t="s">
        <v>419</v>
      </c>
    </row>
    <row r="150" spans="2:11" x14ac:dyDescent="0.2">
      <c r="B150" t="s">
        <v>315</v>
      </c>
      <c r="D150" t="s">
        <v>421</v>
      </c>
      <c r="E150" t="s">
        <v>422</v>
      </c>
      <c r="F150" s="3" t="s">
        <v>422</v>
      </c>
      <c r="G150" s="3" t="s">
        <v>422</v>
      </c>
      <c r="H150" s="3" t="s">
        <v>422</v>
      </c>
      <c r="I150" s="3" t="s">
        <v>421</v>
      </c>
      <c r="J150" t="s">
        <v>422</v>
      </c>
      <c r="K150" t="s">
        <v>422</v>
      </c>
    </row>
    <row r="151" spans="2:11" x14ac:dyDescent="0.2">
      <c r="B151" t="s">
        <v>423</v>
      </c>
      <c r="D151" t="s">
        <v>424</v>
      </c>
      <c r="E151" t="s">
        <v>425</v>
      </c>
      <c r="F151" t="s">
        <v>425</v>
      </c>
      <c r="G151" t="s">
        <v>425</v>
      </c>
      <c r="H151" t="s">
        <v>425</v>
      </c>
      <c r="I151" t="s">
        <v>425</v>
      </c>
      <c r="J151" t="s">
        <v>425</v>
      </c>
      <c r="K151" t="s">
        <v>425</v>
      </c>
    </row>
    <row r="152" spans="2:11" x14ac:dyDescent="0.2">
      <c r="B152" t="s">
        <v>423</v>
      </c>
      <c r="D152" t="s">
        <v>426</v>
      </c>
      <c r="E152" t="s">
        <v>427</v>
      </c>
      <c r="F152" t="s">
        <v>427</v>
      </c>
      <c r="G152" t="s">
        <v>427</v>
      </c>
      <c r="H152" t="s">
        <v>427</v>
      </c>
      <c r="I152" t="s">
        <v>428</v>
      </c>
      <c r="J152" t="s">
        <v>427</v>
      </c>
      <c r="K152" t="s">
        <v>427</v>
      </c>
    </row>
    <row r="153" spans="2:11" x14ac:dyDescent="0.2">
      <c r="B153" t="s">
        <v>423</v>
      </c>
      <c r="D153" t="s">
        <v>429</v>
      </c>
      <c r="E153" t="s">
        <v>430</v>
      </c>
      <c r="F153" t="s">
        <v>430</v>
      </c>
      <c r="G153" t="s">
        <v>430</v>
      </c>
      <c r="H153" t="s">
        <v>430</v>
      </c>
      <c r="I153" t="s">
        <v>431</v>
      </c>
      <c r="J153" t="s">
        <v>430</v>
      </c>
      <c r="K153" t="s">
        <v>430</v>
      </c>
    </row>
    <row r="154" spans="2:11" x14ac:dyDescent="0.2">
      <c r="B154" t="s">
        <v>423</v>
      </c>
      <c r="D154" t="s">
        <v>432</v>
      </c>
      <c r="E154" t="s">
        <v>433</v>
      </c>
      <c r="F154" t="s">
        <v>433</v>
      </c>
      <c r="G154" t="s">
        <v>433</v>
      </c>
      <c r="H154" t="s">
        <v>433</v>
      </c>
      <c r="I154" t="s">
        <v>434</v>
      </c>
      <c r="J154" t="s">
        <v>433</v>
      </c>
      <c r="K154" t="s">
        <v>803</v>
      </c>
    </row>
    <row r="155" spans="2:11" x14ac:dyDescent="0.2">
      <c r="B155" t="s">
        <v>423</v>
      </c>
      <c r="D155" t="s">
        <v>423</v>
      </c>
      <c r="E155" t="s">
        <v>423</v>
      </c>
      <c r="F155" t="s">
        <v>423</v>
      </c>
      <c r="G155" t="s">
        <v>423</v>
      </c>
      <c r="H155" t="s">
        <v>423</v>
      </c>
      <c r="I155" t="s">
        <v>423</v>
      </c>
      <c r="J155" t="s">
        <v>423</v>
      </c>
      <c r="K155" t="s">
        <v>423</v>
      </c>
    </row>
    <row r="156" spans="2:11" x14ac:dyDescent="0.2">
      <c r="B156" t="s">
        <v>423</v>
      </c>
      <c r="D156" t="s">
        <v>435</v>
      </c>
      <c r="E156" t="s">
        <v>436</v>
      </c>
      <c r="F156" t="s">
        <v>436</v>
      </c>
      <c r="G156" t="s">
        <v>436</v>
      </c>
      <c r="H156" t="s">
        <v>436</v>
      </c>
      <c r="I156" t="s">
        <v>431</v>
      </c>
      <c r="J156" t="s">
        <v>436</v>
      </c>
      <c r="K156" t="s">
        <v>435</v>
      </c>
    </row>
    <row r="157" spans="2:11" x14ac:dyDescent="0.2">
      <c r="B157" t="s">
        <v>423</v>
      </c>
      <c r="D157" t="s">
        <v>437</v>
      </c>
      <c r="E157" t="s">
        <v>438</v>
      </c>
      <c r="F157" t="s">
        <v>438</v>
      </c>
      <c r="G157" t="s">
        <v>438</v>
      </c>
      <c r="H157" t="s">
        <v>438</v>
      </c>
      <c r="I157" t="s">
        <v>434</v>
      </c>
      <c r="J157" t="s">
        <v>438</v>
      </c>
      <c r="K157" t="s">
        <v>437</v>
      </c>
    </row>
    <row r="158" spans="2:11" x14ac:dyDescent="0.2">
      <c r="B158" t="s">
        <v>423</v>
      </c>
      <c r="D158" t="s">
        <v>439</v>
      </c>
      <c r="E158" t="s">
        <v>440</v>
      </c>
      <c r="F158" t="s">
        <v>440</v>
      </c>
      <c r="G158" t="s">
        <v>440</v>
      </c>
      <c r="H158" t="s">
        <v>440</v>
      </c>
      <c r="I158" t="s">
        <v>439</v>
      </c>
      <c r="J158" t="s">
        <v>440</v>
      </c>
      <c r="K158" t="s">
        <v>439</v>
      </c>
    </row>
    <row r="159" spans="2:11" x14ac:dyDescent="0.2">
      <c r="B159" t="s">
        <v>441</v>
      </c>
      <c r="D159" t="s">
        <v>442</v>
      </c>
      <c r="E159" t="s">
        <v>442</v>
      </c>
      <c r="F159" t="s">
        <v>442</v>
      </c>
      <c r="G159" t="s">
        <v>442</v>
      </c>
      <c r="H159" t="s">
        <v>442</v>
      </c>
      <c r="I159" t="s">
        <v>442</v>
      </c>
      <c r="J159" t="s">
        <v>442</v>
      </c>
      <c r="K159" t="s">
        <v>442</v>
      </c>
    </row>
    <row r="160" spans="2:11" x14ac:dyDescent="0.2">
      <c r="B160" t="s">
        <v>441</v>
      </c>
      <c r="D160" t="s">
        <v>443</v>
      </c>
      <c r="E160" t="s">
        <v>443</v>
      </c>
      <c r="F160" t="s">
        <v>443</v>
      </c>
      <c r="G160" t="s">
        <v>443</v>
      </c>
      <c r="H160" t="s">
        <v>443</v>
      </c>
      <c r="I160" t="s">
        <v>443</v>
      </c>
      <c r="J160" t="s">
        <v>443</v>
      </c>
      <c r="K160" t="s">
        <v>443</v>
      </c>
    </row>
    <row r="161" spans="2:11" x14ac:dyDescent="0.2">
      <c r="B161" t="s">
        <v>441</v>
      </c>
      <c r="D161" t="s">
        <v>441</v>
      </c>
      <c r="E161" t="s">
        <v>441</v>
      </c>
      <c r="F161" t="s">
        <v>441</v>
      </c>
      <c r="G161" t="s">
        <v>441</v>
      </c>
      <c r="H161" t="s">
        <v>441</v>
      </c>
      <c r="I161" t="s">
        <v>441</v>
      </c>
      <c r="J161" t="s">
        <v>441</v>
      </c>
      <c r="K161" t="s">
        <v>441</v>
      </c>
    </row>
    <row r="162" spans="2:11" x14ac:dyDescent="0.2">
      <c r="B162" t="s">
        <v>292</v>
      </c>
      <c r="D162" t="s">
        <v>444</v>
      </c>
      <c r="E162" t="s">
        <v>445</v>
      </c>
      <c r="F162" t="s">
        <v>445</v>
      </c>
      <c r="G162" t="s">
        <v>445</v>
      </c>
      <c r="H162" t="s">
        <v>445</v>
      </c>
      <c r="I162" t="s">
        <v>445</v>
      </c>
      <c r="J162" t="s">
        <v>445</v>
      </c>
      <c r="K162" t="s">
        <v>444</v>
      </c>
    </row>
    <row r="163" spans="2:11" x14ac:dyDescent="0.2">
      <c r="B163" s="83" t="s">
        <v>807</v>
      </c>
      <c r="D163" s="83" t="s">
        <v>807</v>
      </c>
      <c r="E163" s="83" t="s">
        <v>808</v>
      </c>
      <c r="F163" s="83" t="s">
        <v>821</v>
      </c>
    </row>
    <row r="164" spans="2:11" x14ac:dyDescent="0.2">
      <c r="B164" s="83" t="s">
        <v>807</v>
      </c>
      <c r="D164" s="83" t="s">
        <v>809</v>
      </c>
      <c r="E164" s="83" t="s">
        <v>810</v>
      </c>
      <c r="F164" s="83" t="s">
        <v>810</v>
      </c>
    </row>
    <row r="165" spans="2:11" x14ac:dyDescent="0.2">
      <c r="B165" s="83" t="s">
        <v>807</v>
      </c>
      <c r="D165" s="83" t="s">
        <v>822</v>
      </c>
      <c r="E165" s="83" t="s">
        <v>822</v>
      </c>
      <c r="F165" s="83" t="s">
        <v>811</v>
      </c>
    </row>
    <row r="166" spans="2:11" x14ac:dyDescent="0.2">
      <c r="B166" s="83" t="s">
        <v>807</v>
      </c>
      <c r="D166" s="83" t="s">
        <v>812</v>
      </c>
      <c r="E166" s="83" t="s">
        <v>812</v>
      </c>
      <c r="F166" s="83" t="s">
        <v>813</v>
      </c>
    </row>
    <row r="167" spans="2:11" x14ac:dyDescent="0.2">
      <c r="B167" s="83" t="s">
        <v>807</v>
      </c>
      <c r="D167" s="83" t="s">
        <v>814</v>
      </c>
      <c r="E167" s="83" t="s">
        <v>814</v>
      </c>
      <c r="F167" s="83" t="s">
        <v>815</v>
      </c>
    </row>
    <row r="168" spans="2:11" x14ac:dyDescent="0.2">
      <c r="B168" s="83" t="s">
        <v>807</v>
      </c>
      <c r="D168" s="83" t="s">
        <v>816</v>
      </c>
      <c r="E168" s="83" t="s">
        <v>817</v>
      </c>
      <c r="F168" s="83" t="s">
        <v>817</v>
      </c>
    </row>
    <row r="169" spans="2:11" x14ac:dyDescent="0.2">
      <c r="B169" s="83" t="s">
        <v>807</v>
      </c>
      <c r="D169" s="83" t="s">
        <v>818</v>
      </c>
      <c r="E169" s="83" t="s">
        <v>819</v>
      </c>
      <c r="F169" s="83" t="s">
        <v>819</v>
      </c>
    </row>
    <row r="170" spans="2:11" x14ac:dyDescent="0.2">
      <c r="B170" s="83" t="s">
        <v>807</v>
      </c>
      <c r="D170" s="83" t="s">
        <v>820</v>
      </c>
      <c r="E170" s="83" t="s">
        <v>820</v>
      </c>
      <c r="F170" s="83" t="s">
        <v>820</v>
      </c>
    </row>
  </sheetData>
  <phoneticPr fontId="5" type="noConversion"/>
  <pageMargins left="0.75" right="0.75" top="1" bottom="1" header="0" footer="0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137"/>
  <sheetViews>
    <sheetView workbookViewId="0">
      <selection activeCell="I5" sqref="I5"/>
    </sheetView>
  </sheetViews>
  <sheetFormatPr defaultColWidth="11.42578125" defaultRowHeight="12.75" x14ac:dyDescent="0.2"/>
  <sheetData>
    <row r="1" spans="1:8" s="56" customFormat="1" x14ac:dyDescent="0.2">
      <c r="A1" s="55"/>
      <c r="D1" s="57"/>
      <c r="E1" s="57"/>
      <c r="F1" s="57"/>
      <c r="G1" s="57"/>
      <c r="H1" s="58"/>
    </row>
    <row r="2" spans="1:8" s="56" customFormat="1" ht="18.75" customHeight="1" x14ac:dyDescent="0.2">
      <c r="A2" s="55"/>
      <c r="D2" s="57"/>
      <c r="E2" s="57"/>
      <c r="F2" s="57"/>
      <c r="G2" s="57"/>
      <c r="H2" s="58"/>
    </row>
    <row r="3" spans="1:8" s="56" customFormat="1" x14ac:dyDescent="0.2">
      <c r="A3" s="55"/>
      <c r="D3" s="58"/>
      <c r="E3" s="57"/>
      <c r="F3" s="57"/>
      <c r="G3" s="57"/>
      <c r="H3" s="58"/>
    </row>
    <row r="4" spans="1:8" s="56" customFormat="1" ht="63.75" x14ac:dyDescent="0.2">
      <c r="A4" s="92" t="s">
        <v>675</v>
      </c>
      <c r="B4" s="93"/>
      <c r="D4" s="94" t="s">
        <v>676</v>
      </c>
      <c r="E4" s="93"/>
      <c r="F4" s="59" t="s">
        <v>677</v>
      </c>
      <c r="G4" s="60" t="s">
        <v>678</v>
      </c>
      <c r="H4" s="58"/>
    </row>
    <row r="5" spans="1:8" s="56" customFormat="1" x14ac:dyDescent="0.2">
      <c r="A5" s="55"/>
      <c r="D5" s="61">
        <v>1</v>
      </c>
      <c r="E5" s="62"/>
      <c r="F5" s="63" t="s">
        <v>679</v>
      </c>
      <c r="G5" s="64" t="s">
        <v>679</v>
      </c>
      <c r="H5" s="58"/>
    </row>
    <row r="6" spans="1:8" s="56" customFormat="1" x14ac:dyDescent="0.2">
      <c r="A6" s="65" t="s">
        <v>680</v>
      </c>
      <c r="D6" s="66">
        <v>2</v>
      </c>
      <c r="E6" s="65"/>
      <c r="F6" s="67"/>
      <c r="G6" s="68"/>
      <c r="H6" s="58"/>
    </row>
    <row r="7" spans="1:8" s="56" customFormat="1" x14ac:dyDescent="0.2">
      <c r="A7" s="55">
        <v>1</v>
      </c>
      <c r="B7" s="56" t="s">
        <v>681</v>
      </c>
      <c r="D7" s="66">
        <v>3</v>
      </c>
      <c r="E7" s="65"/>
      <c r="F7" s="67"/>
      <c r="G7" s="68"/>
      <c r="H7" s="58"/>
    </row>
    <row r="8" spans="1:8" s="56" customFormat="1" x14ac:dyDescent="0.2">
      <c r="A8" s="55">
        <v>2</v>
      </c>
      <c r="B8" s="56" t="s">
        <v>682</v>
      </c>
      <c r="D8" s="66">
        <v>4</v>
      </c>
      <c r="E8" s="65"/>
      <c r="F8" s="67"/>
      <c r="G8" s="68"/>
      <c r="H8" s="58"/>
    </row>
    <row r="9" spans="1:8" s="56" customFormat="1" x14ac:dyDescent="0.2">
      <c r="A9" s="55">
        <v>3</v>
      </c>
      <c r="B9" s="56" t="s">
        <v>683</v>
      </c>
      <c r="D9" s="66">
        <v>5</v>
      </c>
      <c r="E9" s="65"/>
      <c r="F9" s="67"/>
      <c r="G9" s="68"/>
      <c r="H9" s="58"/>
    </row>
    <row r="10" spans="1:8" s="56" customFormat="1" x14ac:dyDescent="0.2">
      <c r="A10" s="55"/>
      <c r="D10" s="66">
        <v>6</v>
      </c>
      <c r="E10" s="65"/>
      <c r="F10" s="67"/>
      <c r="G10" s="68"/>
      <c r="H10" s="58"/>
    </row>
    <row r="11" spans="1:8" s="56" customFormat="1" x14ac:dyDescent="0.2">
      <c r="A11" s="65" t="s">
        <v>684</v>
      </c>
      <c r="D11" s="66">
        <v>7</v>
      </c>
      <c r="E11" s="65"/>
      <c r="F11" s="67"/>
      <c r="G11" s="68"/>
      <c r="H11" s="58"/>
    </row>
    <row r="12" spans="1:8" s="56" customFormat="1" x14ac:dyDescent="0.2">
      <c r="A12" s="55">
        <v>1</v>
      </c>
      <c r="B12" s="56" t="s">
        <v>685</v>
      </c>
      <c r="D12" s="66">
        <v>8</v>
      </c>
      <c r="E12" s="65"/>
      <c r="F12" s="67"/>
      <c r="G12" s="68"/>
      <c r="H12" s="58"/>
    </row>
    <row r="13" spans="1:8" s="56" customFormat="1" x14ac:dyDescent="0.2">
      <c r="A13" s="55">
        <v>2</v>
      </c>
      <c r="B13" s="56" t="s">
        <v>686</v>
      </c>
      <c r="D13" s="66">
        <v>9</v>
      </c>
      <c r="E13" s="65"/>
      <c r="F13" s="67"/>
      <c r="G13" s="68"/>
      <c r="H13" s="58"/>
    </row>
    <row r="14" spans="1:8" s="56" customFormat="1" x14ac:dyDescent="0.2">
      <c r="A14" s="55">
        <v>3</v>
      </c>
      <c r="B14" s="56" t="s">
        <v>687</v>
      </c>
      <c r="D14" s="66">
        <v>10</v>
      </c>
      <c r="E14" s="65"/>
      <c r="F14" s="67"/>
      <c r="G14" s="68"/>
      <c r="H14" s="58"/>
    </row>
    <row r="15" spans="1:8" s="56" customFormat="1" x14ac:dyDescent="0.2">
      <c r="A15" s="55"/>
      <c r="D15" s="66">
        <v>11</v>
      </c>
      <c r="E15" s="65"/>
      <c r="F15" s="67"/>
      <c r="G15" s="68"/>
      <c r="H15" s="58"/>
    </row>
    <row r="16" spans="1:8" s="56" customFormat="1" x14ac:dyDescent="0.2">
      <c r="A16" s="55"/>
      <c r="D16" s="66">
        <v>12</v>
      </c>
      <c r="E16" s="65"/>
      <c r="F16" s="67"/>
      <c r="G16" s="68"/>
      <c r="H16" s="58"/>
    </row>
    <row r="17" spans="1:8" s="56" customFormat="1" x14ac:dyDescent="0.2">
      <c r="A17" s="55"/>
      <c r="D17" s="66">
        <v>13</v>
      </c>
      <c r="E17" s="65"/>
      <c r="F17" s="67"/>
      <c r="G17" s="68"/>
      <c r="H17" s="58"/>
    </row>
    <row r="18" spans="1:8" s="56" customFormat="1" x14ac:dyDescent="0.2">
      <c r="A18" s="55"/>
      <c r="D18" s="66">
        <v>14</v>
      </c>
      <c r="E18" s="65"/>
      <c r="F18" s="67"/>
      <c r="G18" s="68"/>
      <c r="H18" s="58"/>
    </row>
    <row r="19" spans="1:8" s="56" customFormat="1" x14ac:dyDescent="0.2">
      <c r="A19" s="55"/>
      <c r="D19" s="66">
        <v>15</v>
      </c>
      <c r="E19" s="65"/>
      <c r="F19" s="67"/>
      <c r="G19" s="68"/>
      <c r="H19" s="58"/>
    </row>
    <row r="20" spans="1:8" s="56" customFormat="1" x14ac:dyDescent="0.2">
      <c r="A20" s="55"/>
      <c r="D20" s="66">
        <v>16</v>
      </c>
      <c r="E20" s="65"/>
      <c r="F20" s="67"/>
      <c r="G20" s="68"/>
      <c r="H20" s="58"/>
    </row>
    <row r="21" spans="1:8" s="56" customFormat="1" x14ac:dyDescent="0.2">
      <c r="A21" s="55"/>
      <c r="D21" s="66">
        <v>17</v>
      </c>
      <c r="E21" s="65"/>
      <c r="F21" s="67"/>
      <c r="G21" s="68"/>
      <c r="H21" s="58"/>
    </row>
    <row r="22" spans="1:8" s="56" customFormat="1" x14ac:dyDescent="0.2">
      <c r="A22" s="55"/>
      <c r="D22" s="66">
        <v>18</v>
      </c>
      <c r="E22" s="65"/>
      <c r="F22" s="67"/>
      <c r="G22" s="68"/>
      <c r="H22" s="58"/>
    </row>
    <row r="23" spans="1:8" s="56" customFormat="1" x14ac:dyDescent="0.2">
      <c r="A23" s="55"/>
      <c r="D23" s="66">
        <v>19</v>
      </c>
      <c r="E23" s="65"/>
      <c r="F23" s="67"/>
      <c r="G23" s="68"/>
      <c r="H23" s="58"/>
    </row>
    <row r="24" spans="1:8" s="56" customFormat="1" x14ac:dyDescent="0.2">
      <c r="A24" s="55"/>
      <c r="D24" s="66">
        <v>20</v>
      </c>
      <c r="E24" s="65"/>
      <c r="F24" s="67"/>
      <c r="G24" s="68"/>
      <c r="H24" s="58"/>
    </row>
    <row r="25" spans="1:8" s="56" customFormat="1" x14ac:dyDescent="0.2">
      <c r="A25" s="55"/>
      <c r="D25" s="66">
        <v>21</v>
      </c>
      <c r="E25" s="65"/>
      <c r="F25" s="67"/>
      <c r="G25" s="68"/>
      <c r="H25" s="58"/>
    </row>
    <row r="26" spans="1:8" s="56" customFormat="1" x14ac:dyDescent="0.2">
      <c r="A26" s="55"/>
      <c r="D26" s="66">
        <v>22</v>
      </c>
      <c r="E26" s="65"/>
      <c r="F26" s="67"/>
      <c r="G26" s="68"/>
      <c r="H26" s="58"/>
    </row>
    <row r="27" spans="1:8" s="56" customFormat="1" x14ac:dyDescent="0.2">
      <c r="A27" s="55"/>
      <c r="D27" s="66">
        <v>23</v>
      </c>
      <c r="E27" s="65"/>
      <c r="F27" s="67"/>
      <c r="G27" s="68"/>
      <c r="H27" s="58"/>
    </row>
    <row r="28" spans="1:8" s="56" customFormat="1" x14ac:dyDescent="0.2">
      <c r="A28" s="55"/>
      <c r="D28" s="66">
        <v>24</v>
      </c>
      <c r="E28" s="65"/>
      <c r="F28" s="67"/>
      <c r="G28" s="68"/>
      <c r="H28" s="58"/>
    </row>
    <row r="29" spans="1:8" s="56" customFormat="1" x14ac:dyDescent="0.2">
      <c r="A29" s="55"/>
      <c r="D29" s="66">
        <v>25</v>
      </c>
      <c r="E29" s="65"/>
      <c r="F29" s="67"/>
      <c r="G29" s="68"/>
      <c r="H29" s="58"/>
    </row>
    <row r="30" spans="1:8" s="56" customFormat="1" x14ac:dyDescent="0.2">
      <c r="A30" s="55"/>
      <c r="D30" s="66">
        <v>26</v>
      </c>
      <c r="E30" s="65"/>
      <c r="F30" s="67"/>
      <c r="G30" s="68"/>
      <c r="H30" s="58"/>
    </row>
    <row r="31" spans="1:8" s="56" customFormat="1" x14ac:dyDescent="0.2">
      <c r="A31" s="55"/>
      <c r="D31" s="66">
        <v>27</v>
      </c>
      <c r="E31" s="65"/>
      <c r="F31" s="67"/>
      <c r="G31" s="68"/>
      <c r="H31" s="58"/>
    </row>
    <row r="32" spans="1:8" s="56" customFormat="1" x14ac:dyDescent="0.2">
      <c r="A32" s="55"/>
      <c r="D32" s="66">
        <v>28</v>
      </c>
      <c r="E32" s="65"/>
      <c r="F32" s="67"/>
      <c r="G32" s="68"/>
      <c r="H32" s="58"/>
    </row>
    <row r="33" spans="1:8" s="56" customFormat="1" x14ac:dyDescent="0.2">
      <c r="A33" s="55"/>
      <c r="D33" s="66">
        <v>29</v>
      </c>
      <c r="E33" s="65"/>
      <c r="F33" s="67"/>
      <c r="G33" s="68"/>
      <c r="H33" s="58"/>
    </row>
    <row r="34" spans="1:8" s="56" customFormat="1" x14ac:dyDescent="0.2">
      <c r="A34" s="55"/>
      <c r="D34" s="66">
        <v>30</v>
      </c>
      <c r="E34" s="65"/>
      <c r="F34" s="67"/>
      <c r="G34" s="68"/>
      <c r="H34" s="58"/>
    </row>
    <row r="35" spans="1:8" s="56" customFormat="1" x14ac:dyDescent="0.2">
      <c r="A35" s="55"/>
      <c r="D35" s="66">
        <v>31</v>
      </c>
      <c r="E35" s="65"/>
      <c r="F35" s="67"/>
      <c r="G35" s="68"/>
      <c r="H35" s="58"/>
    </row>
    <row r="36" spans="1:8" s="56" customFormat="1" x14ac:dyDescent="0.2">
      <c r="A36" s="55"/>
      <c r="D36" s="66">
        <v>32</v>
      </c>
      <c r="E36" s="65"/>
      <c r="F36" s="67"/>
      <c r="G36" s="68"/>
      <c r="H36" s="58"/>
    </row>
    <row r="37" spans="1:8" s="56" customFormat="1" x14ac:dyDescent="0.2">
      <c r="A37" s="55"/>
      <c r="D37" s="66">
        <v>33</v>
      </c>
      <c r="E37" s="65"/>
      <c r="F37" s="67"/>
      <c r="G37" s="68"/>
      <c r="H37" s="58"/>
    </row>
    <row r="38" spans="1:8" s="56" customFormat="1" x14ac:dyDescent="0.2">
      <c r="A38" s="55"/>
      <c r="D38" s="66">
        <v>34</v>
      </c>
      <c r="E38" s="65"/>
      <c r="F38" s="67"/>
      <c r="G38" s="68"/>
      <c r="H38" s="58"/>
    </row>
    <row r="39" spans="1:8" s="56" customFormat="1" x14ac:dyDescent="0.2">
      <c r="A39" s="55"/>
      <c r="D39" s="66">
        <v>35</v>
      </c>
      <c r="E39" s="65"/>
      <c r="F39" s="67"/>
      <c r="G39" s="68"/>
      <c r="H39" s="58"/>
    </row>
    <row r="40" spans="1:8" s="56" customFormat="1" x14ac:dyDescent="0.2">
      <c r="A40" s="55"/>
      <c r="D40" s="66">
        <v>36</v>
      </c>
      <c r="E40" s="65"/>
      <c r="F40" s="67"/>
      <c r="G40" s="68"/>
      <c r="H40" s="58"/>
    </row>
    <row r="41" spans="1:8" s="56" customFormat="1" x14ac:dyDescent="0.2">
      <c r="A41" s="55"/>
      <c r="D41" s="66">
        <v>37</v>
      </c>
      <c r="E41" s="65"/>
      <c r="F41" s="67"/>
      <c r="G41" s="68"/>
      <c r="H41" s="58"/>
    </row>
    <row r="42" spans="1:8" s="56" customFormat="1" x14ac:dyDescent="0.2">
      <c r="A42" s="55"/>
      <c r="D42" s="66">
        <v>38</v>
      </c>
      <c r="E42" s="65"/>
      <c r="F42" s="67"/>
      <c r="G42" s="68"/>
      <c r="H42" s="58"/>
    </row>
    <row r="43" spans="1:8" s="56" customFormat="1" x14ac:dyDescent="0.2">
      <c r="A43" s="55"/>
      <c r="D43" s="66">
        <v>39</v>
      </c>
      <c r="E43" s="65"/>
      <c r="F43" s="67"/>
      <c r="G43" s="68"/>
      <c r="H43" s="58"/>
    </row>
    <row r="44" spans="1:8" s="56" customFormat="1" x14ac:dyDescent="0.2">
      <c r="A44" s="55"/>
      <c r="D44" s="66">
        <v>40</v>
      </c>
      <c r="E44" s="65"/>
      <c r="F44" s="67"/>
      <c r="G44" s="68"/>
      <c r="H44" s="58"/>
    </row>
    <row r="45" spans="1:8" s="56" customFormat="1" x14ac:dyDescent="0.2">
      <c r="A45" s="55"/>
      <c r="D45" s="66">
        <v>41</v>
      </c>
      <c r="E45" s="65"/>
      <c r="F45" s="67"/>
      <c r="G45" s="68"/>
      <c r="H45" s="58"/>
    </row>
    <row r="46" spans="1:8" s="56" customFormat="1" x14ac:dyDescent="0.2">
      <c r="A46" s="55"/>
      <c r="D46" s="66">
        <v>42</v>
      </c>
      <c r="E46" s="65"/>
      <c r="F46" s="67"/>
      <c r="G46" s="68"/>
      <c r="H46" s="58"/>
    </row>
    <row r="47" spans="1:8" s="56" customFormat="1" x14ac:dyDescent="0.2">
      <c r="A47" s="55"/>
      <c r="D47" s="66">
        <v>43</v>
      </c>
      <c r="E47" s="65"/>
      <c r="F47" s="67"/>
      <c r="G47" s="68"/>
      <c r="H47" s="58"/>
    </row>
    <row r="48" spans="1:8" s="56" customFormat="1" x14ac:dyDescent="0.2">
      <c r="A48" s="55"/>
      <c r="D48" s="66">
        <v>44</v>
      </c>
      <c r="E48" s="65"/>
      <c r="F48" s="67"/>
      <c r="G48" s="68"/>
      <c r="H48" s="58"/>
    </row>
    <row r="49" spans="1:8" s="56" customFormat="1" x14ac:dyDescent="0.2">
      <c r="A49" s="55"/>
      <c r="D49" s="66">
        <v>45</v>
      </c>
      <c r="E49" s="65"/>
      <c r="F49" s="67"/>
      <c r="G49" s="68"/>
      <c r="H49" s="58"/>
    </row>
    <row r="50" spans="1:8" s="56" customFormat="1" x14ac:dyDescent="0.2">
      <c r="A50" s="55"/>
      <c r="D50" s="66">
        <v>46</v>
      </c>
      <c r="E50" s="65"/>
      <c r="F50" s="67"/>
      <c r="G50" s="68"/>
      <c r="H50" s="58"/>
    </row>
    <row r="51" spans="1:8" s="56" customFormat="1" x14ac:dyDescent="0.2">
      <c r="A51" s="55"/>
      <c r="D51" s="66">
        <v>47</v>
      </c>
      <c r="E51" s="65"/>
      <c r="F51" s="67"/>
      <c r="G51" s="68"/>
      <c r="H51" s="58"/>
    </row>
    <row r="52" spans="1:8" s="56" customFormat="1" x14ac:dyDescent="0.2">
      <c r="A52" s="55"/>
      <c r="D52" s="69">
        <v>48</v>
      </c>
      <c r="E52" s="70"/>
      <c r="F52" s="71"/>
      <c r="G52" s="72"/>
      <c r="H52" s="58"/>
    </row>
    <row r="53" spans="1:8" s="56" customFormat="1" x14ac:dyDescent="0.2">
      <c r="A53" s="55"/>
      <c r="D53" s="58"/>
      <c r="E53" s="57"/>
      <c r="F53" s="57"/>
      <c r="G53" s="57"/>
      <c r="H53" s="58"/>
    </row>
    <row r="54" spans="1:8" s="56" customFormat="1" x14ac:dyDescent="0.2">
      <c r="A54" s="55"/>
      <c r="D54" s="58"/>
      <c r="E54" s="57"/>
      <c r="F54" s="57"/>
      <c r="G54" s="57"/>
      <c r="H54" s="58"/>
    </row>
    <row r="55" spans="1:8" s="56" customFormat="1" x14ac:dyDescent="0.2">
      <c r="A55" s="55"/>
      <c r="D55" s="58"/>
      <c r="E55" s="57"/>
      <c r="F55" s="57"/>
      <c r="G55" s="57"/>
      <c r="H55" s="58"/>
    </row>
    <row r="56" spans="1:8" s="56" customFormat="1" x14ac:dyDescent="0.2">
      <c r="A56" s="55"/>
      <c r="D56" s="58"/>
      <c r="E56" s="57"/>
      <c r="F56" s="57"/>
      <c r="G56" s="57"/>
      <c r="H56" s="58"/>
    </row>
    <row r="57" spans="1:8" s="56" customFormat="1" x14ac:dyDescent="0.2">
      <c r="A57" s="55"/>
      <c r="D57" s="58"/>
      <c r="E57" s="57"/>
      <c r="F57" s="57"/>
      <c r="G57" s="57"/>
      <c r="H57" s="58"/>
    </row>
    <row r="58" spans="1:8" s="56" customFormat="1" x14ac:dyDescent="0.2">
      <c r="A58" s="55"/>
      <c r="D58" s="58"/>
      <c r="E58" s="57"/>
      <c r="F58" s="57"/>
      <c r="G58" s="57"/>
      <c r="H58" s="58"/>
    </row>
    <row r="59" spans="1:8" s="56" customFormat="1" x14ac:dyDescent="0.2">
      <c r="A59" s="55"/>
      <c r="D59" s="58"/>
      <c r="E59" s="57"/>
      <c r="F59" s="57"/>
      <c r="G59" s="57"/>
      <c r="H59" s="58"/>
    </row>
    <row r="60" spans="1:8" s="56" customFormat="1" x14ac:dyDescent="0.2">
      <c r="A60" s="55"/>
      <c r="D60" s="58"/>
      <c r="E60" s="57"/>
      <c r="F60" s="57"/>
      <c r="G60" s="57"/>
      <c r="H60" s="58"/>
    </row>
    <row r="61" spans="1:8" s="56" customFormat="1" x14ac:dyDescent="0.2">
      <c r="A61" s="55"/>
      <c r="D61" s="58"/>
      <c r="E61" s="57"/>
      <c r="F61" s="57"/>
      <c r="G61" s="57"/>
      <c r="H61" s="58"/>
    </row>
    <row r="62" spans="1:8" s="56" customFormat="1" x14ac:dyDescent="0.2">
      <c r="A62" s="55"/>
      <c r="D62" s="58"/>
      <c r="E62" s="57"/>
      <c r="F62" s="57"/>
      <c r="G62" s="57"/>
      <c r="H62" s="58"/>
    </row>
    <row r="63" spans="1:8" s="56" customFormat="1" x14ac:dyDescent="0.2">
      <c r="A63" s="55"/>
      <c r="D63" s="58"/>
      <c r="E63" s="57"/>
      <c r="F63" s="57"/>
      <c r="G63" s="57"/>
      <c r="H63" s="58"/>
    </row>
    <row r="64" spans="1:8" s="56" customFormat="1" x14ac:dyDescent="0.2">
      <c r="A64" s="55"/>
      <c r="D64" s="58"/>
      <c r="E64" s="57"/>
      <c r="F64" s="57"/>
      <c r="G64" s="57"/>
      <c r="H64" s="58"/>
    </row>
    <row r="65" spans="1:8" s="56" customFormat="1" x14ac:dyDescent="0.2">
      <c r="A65" s="55"/>
      <c r="D65" s="58"/>
      <c r="E65" s="57"/>
      <c r="F65" s="57"/>
      <c r="G65" s="57"/>
      <c r="H65" s="58"/>
    </row>
    <row r="66" spans="1:8" s="56" customFormat="1" x14ac:dyDescent="0.2">
      <c r="A66" s="55"/>
      <c r="D66" s="58"/>
      <c r="E66" s="57"/>
      <c r="F66" s="57"/>
      <c r="G66" s="57"/>
      <c r="H66" s="58"/>
    </row>
    <row r="67" spans="1:8" s="56" customFormat="1" x14ac:dyDescent="0.2">
      <c r="A67" s="55"/>
      <c r="D67" s="58"/>
      <c r="E67" s="57"/>
      <c r="F67" s="57"/>
      <c r="G67" s="57"/>
      <c r="H67" s="58"/>
    </row>
    <row r="68" spans="1:8" s="56" customFormat="1" x14ac:dyDescent="0.2">
      <c r="A68" s="55"/>
      <c r="D68" s="58"/>
      <c r="E68" s="57"/>
      <c r="F68" s="57"/>
      <c r="G68" s="57"/>
      <c r="H68" s="58"/>
    </row>
    <row r="69" spans="1:8" s="56" customFormat="1" x14ac:dyDescent="0.2">
      <c r="A69" s="55"/>
      <c r="D69" s="58"/>
      <c r="E69" s="57"/>
      <c r="F69" s="57"/>
      <c r="G69" s="57"/>
      <c r="H69" s="58"/>
    </row>
    <row r="70" spans="1:8" s="56" customFormat="1" x14ac:dyDescent="0.2">
      <c r="A70" s="55"/>
      <c r="D70" s="58"/>
      <c r="E70" s="57"/>
      <c r="F70" s="57"/>
      <c r="G70" s="57"/>
      <c r="H70" s="58"/>
    </row>
    <row r="71" spans="1:8" s="56" customFormat="1" x14ac:dyDescent="0.2">
      <c r="A71" s="55"/>
      <c r="D71" s="58"/>
      <c r="E71" s="57"/>
      <c r="F71" s="57"/>
      <c r="G71" s="57"/>
      <c r="H71" s="58"/>
    </row>
    <row r="72" spans="1:8" s="56" customFormat="1" x14ac:dyDescent="0.2">
      <c r="A72" s="55"/>
      <c r="D72" s="58"/>
      <c r="E72" s="57"/>
      <c r="F72" s="57"/>
      <c r="G72" s="57"/>
      <c r="H72" s="58"/>
    </row>
    <row r="73" spans="1:8" s="56" customFormat="1" x14ac:dyDescent="0.2">
      <c r="A73" s="55"/>
      <c r="D73" s="58"/>
      <c r="E73" s="57"/>
      <c r="F73" s="57"/>
      <c r="G73" s="57"/>
      <c r="H73" s="58"/>
    </row>
    <row r="74" spans="1:8" s="56" customFormat="1" x14ac:dyDescent="0.2">
      <c r="A74" s="55"/>
      <c r="D74" s="58"/>
      <c r="E74" s="57"/>
      <c r="F74" s="57"/>
      <c r="G74" s="57"/>
      <c r="H74" s="58"/>
    </row>
    <row r="75" spans="1:8" s="56" customFormat="1" x14ac:dyDescent="0.2">
      <c r="A75" s="55"/>
      <c r="D75" s="58"/>
      <c r="E75" s="57"/>
      <c r="F75" s="57"/>
      <c r="G75" s="57"/>
      <c r="H75" s="58"/>
    </row>
    <row r="76" spans="1:8" s="56" customFormat="1" x14ac:dyDescent="0.2">
      <c r="A76" s="55"/>
      <c r="D76" s="58"/>
      <c r="E76" s="57"/>
      <c r="F76" s="57"/>
      <c r="G76" s="57"/>
      <c r="H76" s="58"/>
    </row>
    <row r="77" spans="1:8" s="56" customFormat="1" x14ac:dyDescent="0.2">
      <c r="A77" s="55"/>
      <c r="D77" s="58"/>
      <c r="E77" s="57"/>
      <c r="F77" s="57"/>
      <c r="G77" s="57"/>
      <c r="H77" s="58"/>
    </row>
    <row r="78" spans="1:8" s="56" customFormat="1" x14ac:dyDescent="0.2">
      <c r="A78" s="55"/>
      <c r="D78" s="58"/>
      <c r="E78" s="57"/>
      <c r="F78" s="57"/>
      <c r="G78" s="57"/>
      <c r="H78" s="58"/>
    </row>
    <row r="79" spans="1:8" s="56" customFormat="1" x14ac:dyDescent="0.2">
      <c r="A79" s="55"/>
      <c r="D79" s="58"/>
      <c r="E79" s="57"/>
      <c r="F79" s="57"/>
      <c r="G79" s="57"/>
      <c r="H79" s="58"/>
    </row>
    <row r="80" spans="1:8" s="56" customFormat="1" x14ac:dyDescent="0.2">
      <c r="A80" s="55"/>
      <c r="D80" s="58"/>
      <c r="E80" s="57"/>
      <c r="F80" s="57"/>
      <c r="G80" s="57"/>
      <c r="H80" s="58"/>
    </row>
    <row r="81" spans="1:8" s="56" customFormat="1" x14ac:dyDescent="0.2">
      <c r="A81" s="55"/>
      <c r="D81" s="58"/>
      <c r="E81" s="57"/>
      <c r="F81" s="57"/>
      <c r="G81" s="57"/>
      <c r="H81" s="58"/>
    </row>
    <row r="82" spans="1:8" s="56" customFormat="1" x14ac:dyDescent="0.2">
      <c r="A82" s="55"/>
      <c r="D82" s="58"/>
      <c r="E82" s="57"/>
      <c r="F82" s="57"/>
      <c r="G82" s="57"/>
      <c r="H82" s="58"/>
    </row>
    <row r="83" spans="1:8" s="56" customFormat="1" x14ac:dyDescent="0.2">
      <c r="A83" s="55"/>
      <c r="D83" s="58"/>
      <c r="E83" s="57"/>
      <c r="F83" s="57"/>
      <c r="G83" s="57"/>
      <c r="H83" s="58"/>
    </row>
    <row r="84" spans="1:8" s="56" customFormat="1" x14ac:dyDescent="0.2">
      <c r="A84" s="55"/>
      <c r="D84" s="58"/>
      <c r="E84" s="57"/>
      <c r="F84" s="57"/>
      <c r="G84" s="57"/>
      <c r="H84" s="58"/>
    </row>
    <row r="85" spans="1:8" s="56" customFormat="1" x14ac:dyDescent="0.2">
      <c r="A85" s="55"/>
      <c r="D85" s="58"/>
      <c r="E85" s="57"/>
      <c r="F85" s="57"/>
      <c r="G85" s="57"/>
      <c r="H85" s="58"/>
    </row>
    <row r="86" spans="1:8" s="56" customFormat="1" x14ac:dyDescent="0.2">
      <c r="A86" s="55"/>
      <c r="D86" s="58"/>
      <c r="E86" s="57"/>
      <c r="F86" s="57"/>
      <c r="G86" s="57"/>
      <c r="H86" s="58"/>
    </row>
    <row r="87" spans="1:8" s="56" customFormat="1" x14ac:dyDescent="0.2">
      <c r="A87" s="55"/>
      <c r="D87" s="58"/>
      <c r="E87" s="57"/>
      <c r="F87" s="57"/>
      <c r="G87" s="57"/>
      <c r="H87" s="58"/>
    </row>
    <row r="88" spans="1:8" s="56" customFormat="1" x14ac:dyDescent="0.2">
      <c r="A88" s="55"/>
      <c r="D88" s="58"/>
      <c r="E88" s="57"/>
      <c r="F88" s="57"/>
      <c r="G88" s="57"/>
      <c r="H88" s="58"/>
    </row>
    <row r="89" spans="1:8" s="56" customFormat="1" x14ac:dyDescent="0.2">
      <c r="A89" s="55"/>
      <c r="D89" s="58"/>
      <c r="E89" s="57"/>
      <c r="F89" s="57"/>
      <c r="G89" s="57"/>
      <c r="H89" s="58"/>
    </row>
    <row r="90" spans="1:8" s="56" customFormat="1" x14ac:dyDescent="0.2">
      <c r="A90" s="55"/>
      <c r="D90" s="58"/>
      <c r="E90" s="57"/>
      <c r="F90" s="57"/>
      <c r="G90" s="57"/>
      <c r="H90" s="58"/>
    </row>
    <row r="91" spans="1:8" s="56" customFormat="1" x14ac:dyDescent="0.2">
      <c r="A91" s="55"/>
      <c r="D91" s="58"/>
      <c r="E91" s="57"/>
      <c r="F91" s="57"/>
      <c r="G91" s="57"/>
      <c r="H91" s="58"/>
    </row>
    <row r="92" spans="1:8" s="56" customFormat="1" x14ac:dyDescent="0.2">
      <c r="A92" s="55"/>
      <c r="D92" s="58"/>
      <c r="E92" s="57"/>
      <c r="F92" s="57"/>
      <c r="G92" s="57"/>
      <c r="H92" s="58"/>
    </row>
    <row r="93" spans="1:8" s="56" customFormat="1" x14ac:dyDescent="0.2">
      <c r="A93" s="55"/>
      <c r="D93" s="58"/>
      <c r="E93" s="57"/>
      <c r="F93" s="57"/>
      <c r="G93" s="57"/>
      <c r="H93" s="58"/>
    </row>
    <row r="94" spans="1:8" s="56" customFormat="1" x14ac:dyDescent="0.2">
      <c r="A94" s="55"/>
      <c r="D94" s="58"/>
      <c r="E94" s="57"/>
      <c r="F94" s="57"/>
      <c r="G94" s="57"/>
      <c r="H94" s="58"/>
    </row>
    <row r="95" spans="1:8" s="56" customFormat="1" x14ac:dyDescent="0.2">
      <c r="A95" s="55"/>
      <c r="D95" s="58"/>
      <c r="E95" s="57"/>
      <c r="F95" s="57"/>
      <c r="G95" s="57"/>
      <c r="H95" s="58"/>
    </row>
    <row r="96" spans="1:8" s="56" customFormat="1" x14ac:dyDescent="0.2">
      <c r="A96" s="55"/>
      <c r="D96" s="58"/>
      <c r="E96" s="57"/>
      <c r="F96" s="57"/>
      <c r="G96" s="57"/>
      <c r="H96" s="58"/>
    </row>
    <row r="97" spans="1:8" s="56" customFormat="1" x14ac:dyDescent="0.2">
      <c r="A97" s="55"/>
      <c r="D97" s="58"/>
      <c r="E97" s="57"/>
      <c r="F97" s="57"/>
      <c r="G97" s="57"/>
      <c r="H97" s="58"/>
    </row>
    <row r="98" spans="1:8" s="56" customFormat="1" x14ac:dyDescent="0.2">
      <c r="A98" s="55"/>
      <c r="D98" s="58"/>
      <c r="E98" s="57"/>
      <c r="F98" s="57"/>
      <c r="G98" s="57"/>
      <c r="H98" s="58"/>
    </row>
    <row r="99" spans="1:8" s="56" customFormat="1" x14ac:dyDescent="0.2">
      <c r="A99" s="55"/>
      <c r="D99" s="58"/>
      <c r="E99" s="57"/>
      <c r="F99" s="57"/>
      <c r="G99" s="57"/>
      <c r="H99" s="58"/>
    </row>
    <row r="100" spans="1:8" s="56" customFormat="1" x14ac:dyDescent="0.2">
      <c r="A100" s="55"/>
      <c r="D100" s="58"/>
      <c r="E100" s="57"/>
      <c r="F100" s="57"/>
      <c r="G100" s="57"/>
      <c r="H100" s="58"/>
    </row>
    <row r="101" spans="1:8" s="56" customFormat="1" x14ac:dyDescent="0.2">
      <c r="A101" s="55"/>
      <c r="D101" s="58"/>
      <c r="E101" s="57"/>
      <c r="F101" s="57"/>
      <c r="G101" s="57"/>
      <c r="H101" s="58"/>
    </row>
    <row r="102" spans="1:8" s="56" customFormat="1" x14ac:dyDescent="0.2">
      <c r="A102" s="55"/>
      <c r="D102" s="58"/>
      <c r="E102" s="57"/>
      <c r="F102" s="57"/>
      <c r="G102" s="57"/>
      <c r="H102" s="58"/>
    </row>
    <row r="103" spans="1:8" s="56" customFormat="1" x14ac:dyDescent="0.2">
      <c r="A103" s="55"/>
      <c r="D103" s="58"/>
      <c r="E103" s="57"/>
      <c r="F103" s="57"/>
      <c r="G103" s="57"/>
      <c r="H103" s="58"/>
    </row>
    <row r="104" spans="1:8" s="56" customFormat="1" x14ac:dyDescent="0.2">
      <c r="A104" s="55"/>
      <c r="D104" s="58"/>
      <c r="E104" s="57"/>
      <c r="F104" s="57"/>
      <c r="G104" s="57"/>
      <c r="H104" s="58"/>
    </row>
    <row r="105" spans="1:8" s="56" customFormat="1" x14ac:dyDescent="0.2">
      <c r="A105" s="55"/>
      <c r="D105" s="58"/>
      <c r="E105" s="57"/>
      <c r="F105" s="57"/>
      <c r="G105" s="57"/>
      <c r="H105" s="58"/>
    </row>
    <row r="106" spans="1:8" s="56" customFormat="1" x14ac:dyDescent="0.2">
      <c r="A106" s="55"/>
      <c r="D106" s="58"/>
      <c r="E106" s="57"/>
      <c r="F106" s="57"/>
      <c r="G106" s="57"/>
      <c r="H106" s="58"/>
    </row>
    <row r="107" spans="1:8" s="56" customFormat="1" x14ac:dyDescent="0.2">
      <c r="A107" s="55"/>
      <c r="D107" s="58"/>
      <c r="E107" s="57"/>
      <c r="F107" s="57"/>
      <c r="G107" s="57"/>
      <c r="H107" s="58"/>
    </row>
    <row r="108" spans="1:8" s="56" customFormat="1" x14ac:dyDescent="0.2">
      <c r="A108" s="55"/>
      <c r="D108" s="58"/>
      <c r="E108" s="57"/>
      <c r="F108" s="57"/>
      <c r="G108" s="57"/>
      <c r="H108" s="58"/>
    </row>
    <row r="109" spans="1:8" s="56" customFormat="1" x14ac:dyDescent="0.2">
      <c r="A109" s="55"/>
      <c r="D109" s="58"/>
      <c r="E109" s="57"/>
      <c r="F109" s="57"/>
      <c r="G109" s="57"/>
      <c r="H109" s="58"/>
    </row>
    <row r="110" spans="1:8" s="56" customFormat="1" x14ac:dyDescent="0.2">
      <c r="A110" s="55"/>
      <c r="D110" s="58"/>
      <c r="E110" s="57"/>
      <c r="F110" s="57"/>
      <c r="G110" s="57"/>
      <c r="H110" s="58"/>
    </row>
    <row r="111" spans="1:8" s="56" customFormat="1" x14ac:dyDescent="0.2">
      <c r="A111" s="55"/>
      <c r="D111" s="58"/>
      <c r="E111" s="57"/>
      <c r="F111" s="57"/>
      <c r="G111" s="57"/>
      <c r="H111" s="58"/>
    </row>
    <row r="112" spans="1:8" s="56" customFormat="1" x14ac:dyDescent="0.2">
      <c r="A112" s="55"/>
      <c r="D112" s="58"/>
      <c r="E112" s="57"/>
      <c r="F112" s="57"/>
      <c r="G112" s="57"/>
      <c r="H112" s="58"/>
    </row>
    <row r="113" spans="1:8" s="56" customFormat="1" x14ac:dyDescent="0.2">
      <c r="A113" s="55"/>
      <c r="D113" s="58"/>
      <c r="E113" s="57"/>
      <c r="F113" s="57"/>
      <c r="G113" s="57"/>
      <c r="H113" s="58"/>
    </row>
    <row r="114" spans="1:8" s="56" customFormat="1" x14ac:dyDescent="0.2">
      <c r="A114" s="55"/>
      <c r="D114" s="58"/>
      <c r="E114" s="57"/>
      <c r="F114" s="57"/>
      <c r="G114" s="57"/>
      <c r="H114" s="58"/>
    </row>
    <row r="115" spans="1:8" s="56" customFormat="1" x14ac:dyDescent="0.2">
      <c r="A115" s="55"/>
      <c r="D115" s="58"/>
      <c r="E115" s="57"/>
      <c r="F115" s="57"/>
      <c r="G115" s="57"/>
      <c r="H115" s="58"/>
    </row>
    <row r="116" spans="1:8" s="56" customFormat="1" x14ac:dyDescent="0.2">
      <c r="A116" s="55"/>
      <c r="D116" s="58"/>
      <c r="E116" s="57"/>
      <c r="F116" s="57"/>
      <c r="G116" s="57"/>
      <c r="H116" s="58"/>
    </row>
    <row r="117" spans="1:8" s="56" customFormat="1" x14ac:dyDescent="0.2">
      <c r="A117" s="55"/>
      <c r="D117" s="58"/>
      <c r="E117" s="57"/>
      <c r="F117" s="57"/>
      <c r="G117" s="57"/>
      <c r="H117" s="58"/>
    </row>
    <row r="118" spans="1:8" s="56" customFormat="1" x14ac:dyDescent="0.2">
      <c r="A118" s="55"/>
      <c r="D118" s="58"/>
      <c r="E118" s="57"/>
      <c r="F118" s="57"/>
      <c r="G118" s="57"/>
      <c r="H118" s="58"/>
    </row>
    <row r="119" spans="1:8" s="56" customFormat="1" x14ac:dyDescent="0.2">
      <c r="A119" s="55"/>
      <c r="D119" s="58"/>
      <c r="E119" s="57"/>
      <c r="F119" s="57"/>
      <c r="G119" s="57"/>
      <c r="H119" s="58"/>
    </row>
    <row r="120" spans="1:8" s="56" customFormat="1" x14ac:dyDescent="0.2">
      <c r="A120" s="55"/>
      <c r="D120" s="58"/>
      <c r="E120" s="57"/>
      <c r="F120" s="57"/>
      <c r="G120" s="57"/>
      <c r="H120" s="58"/>
    </row>
    <row r="121" spans="1:8" s="56" customFormat="1" x14ac:dyDescent="0.2">
      <c r="A121" s="55"/>
      <c r="D121" s="58"/>
      <c r="E121" s="57"/>
      <c r="F121" s="57"/>
      <c r="G121" s="57"/>
      <c r="H121" s="58"/>
    </row>
    <row r="122" spans="1:8" s="56" customFormat="1" x14ac:dyDescent="0.2">
      <c r="A122" s="55"/>
      <c r="D122" s="58"/>
      <c r="E122" s="57"/>
      <c r="F122" s="57"/>
      <c r="G122" s="57"/>
      <c r="H122" s="58"/>
    </row>
    <row r="123" spans="1:8" s="56" customFormat="1" x14ac:dyDescent="0.2">
      <c r="A123" s="55"/>
      <c r="D123" s="58"/>
      <c r="E123" s="57"/>
      <c r="F123" s="57"/>
      <c r="G123" s="57"/>
      <c r="H123" s="58"/>
    </row>
    <row r="124" spans="1:8" s="56" customFormat="1" x14ac:dyDescent="0.2">
      <c r="A124" s="55"/>
      <c r="D124" s="58"/>
      <c r="E124" s="57"/>
      <c r="F124" s="57"/>
      <c r="G124" s="57"/>
      <c r="H124" s="58"/>
    </row>
    <row r="125" spans="1:8" s="56" customFormat="1" x14ac:dyDescent="0.2">
      <c r="A125" s="55"/>
      <c r="D125" s="58"/>
      <c r="E125" s="57"/>
      <c r="F125" s="57"/>
      <c r="G125" s="57"/>
      <c r="H125" s="58"/>
    </row>
    <row r="126" spans="1:8" s="56" customFormat="1" x14ac:dyDescent="0.2">
      <c r="A126" s="55"/>
      <c r="D126" s="58"/>
      <c r="E126" s="57"/>
      <c r="F126" s="57"/>
      <c r="G126" s="57"/>
      <c r="H126" s="58"/>
    </row>
    <row r="127" spans="1:8" s="56" customFormat="1" x14ac:dyDescent="0.2">
      <c r="A127" s="55"/>
      <c r="D127" s="58"/>
      <c r="E127" s="57"/>
      <c r="F127" s="57"/>
      <c r="G127" s="57"/>
      <c r="H127" s="58"/>
    </row>
    <row r="128" spans="1:8" s="56" customFormat="1" x14ac:dyDescent="0.2">
      <c r="A128" s="55"/>
      <c r="D128" s="58"/>
      <c r="E128" s="57"/>
      <c r="F128" s="57"/>
      <c r="G128" s="57"/>
      <c r="H128" s="58"/>
    </row>
    <row r="129" spans="1:8" s="56" customFormat="1" x14ac:dyDescent="0.2">
      <c r="A129" s="55"/>
      <c r="D129" s="58"/>
      <c r="E129" s="57"/>
      <c r="F129" s="57"/>
      <c r="G129" s="57"/>
      <c r="H129" s="58"/>
    </row>
    <row r="130" spans="1:8" s="56" customFormat="1" x14ac:dyDescent="0.2">
      <c r="A130" s="55"/>
      <c r="D130" s="58"/>
      <c r="E130" s="57"/>
      <c r="F130" s="57"/>
      <c r="G130" s="57"/>
      <c r="H130" s="58"/>
    </row>
    <row r="131" spans="1:8" s="56" customFormat="1" x14ac:dyDescent="0.2">
      <c r="A131" s="55"/>
      <c r="D131" s="58"/>
      <c r="E131" s="57"/>
      <c r="F131" s="57"/>
      <c r="G131" s="57"/>
      <c r="H131" s="58"/>
    </row>
    <row r="132" spans="1:8" s="56" customFormat="1" x14ac:dyDescent="0.2">
      <c r="A132" s="55"/>
      <c r="D132" s="58"/>
      <c r="E132" s="57"/>
      <c r="F132" s="57"/>
      <c r="G132" s="57"/>
      <c r="H132" s="58"/>
    </row>
    <row r="133" spans="1:8" s="56" customFormat="1" x14ac:dyDescent="0.2">
      <c r="A133" s="55"/>
      <c r="D133" s="58"/>
      <c r="E133" s="57"/>
      <c r="F133" s="57"/>
      <c r="G133" s="57"/>
      <c r="H133" s="58"/>
    </row>
    <row r="134" spans="1:8" s="56" customFormat="1" x14ac:dyDescent="0.2">
      <c r="A134" s="55"/>
      <c r="D134" s="58"/>
      <c r="E134" s="57"/>
      <c r="F134" s="57"/>
      <c r="G134" s="57"/>
      <c r="H134" s="58"/>
    </row>
    <row r="135" spans="1:8" s="56" customFormat="1" x14ac:dyDescent="0.2">
      <c r="A135" s="55"/>
      <c r="D135" s="58"/>
      <c r="E135" s="57"/>
      <c r="F135" s="57"/>
      <c r="G135" s="57"/>
      <c r="H135" s="58"/>
    </row>
    <row r="136" spans="1:8" s="56" customFormat="1" x14ac:dyDescent="0.2">
      <c r="A136" s="55"/>
      <c r="D136" s="58"/>
      <c r="E136" s="57"/>
      <c r="F136" s="57"/>
      <c r="G136" s="57"/>
      <c r="H136" s="58"/>
    </row>
    <row r="137" spans="1:8" s="56" customFormat="1" x14ac:dyDescent="0.2">
      <c r="A137" s="55"/>
      <c r="D137" s="58"/>
      <c r="E137" s="57"/>
      <c r="F137" s="57"/>
      <c r="G137" s="57"/>
      <c r="H137" s="58"/>
    </row>
  </sheetData>
  <mergeCells count="2">
    <mergeCell ref="A4:B4"/>
    <mergeCell ref="D4:E4"/>
  </mergeCells>
  <phoneticPr fontId="5" type="noConversion"/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7" r:id="rId4" name="Button 3">
              <controlPr defaultSize="0" print="0" autoFill="0" autoPict="0" macro="[0]!Brand_Alliance">
                <anchor moveWithCells="1" sizeWithCells="1">
                  <from>
                    <xdr:col>3</xdr:col>
                    <xdr:colOff>457200</xdr:colOff>
                    <xdr:row>1</xdr:row>
                    <xdr:rowOff>47625</xdr:rowOff>
                  </from>
                  <to>
                    <xdr:col>6</xdr:col>
                    <xdr:colOff>666750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O62"/>
  <sheetViews>
    <sheetView workbookViewId="0">
      <selection activeCell="J11" sqref="J11"/>
    </sheetView>
  </sheetViews>
  <sheetFormatPr defaultColWidth="9.140625" defaultRowHeight="12.75" x14ac:dyDescent="0.2"/>
  <sheetData>
    <row r="1" spans="1:93" x14ac:dyDescent="0.2">
      <c r="A1" s="15" t="s">
        <v>622</v>
      </c>
      <c r="B1">
        <v>3</v>
      </c>
    </row>
    <row r="3" spans="1:93" x14ac:dyDescent="0.2">
      <c r="BF3" s="5" t="s">
        <v>599</v>
      </c>
      <c r="BG3" s="5" t="s">
        <v>600</v>
      </c>
      <c r="BH3" s="7" t="s">
        <v>601</v>
      </c>
      <c r="BI3" s="5" t="s">
        <v>602</v>
      </c>
      <c r="BJ3" s="7" t="s">
        <v>603</v>
      </c>
      <c r="BK3" s="7" t="s">
        <v>604</v>
      </c>
      <c r="BL3" s="5" t="s">
        <v>605</v>
      </c>
      <c r="BM3" s="5" t="s">
        <v>606</v>
      </c>
      <c r="BN3" s="5" t="s">
        <v>607</v>
      </c>
      <c r="BO3" s="5" t="s">
        <v>608</v>
      </c>
      <c r="BP3" s="7" t="s">
        <v>609</v>
      </c>
      <c r="BQ3" s="5" t="s">
        <v>610</v>
      </c>
    </row>
    <row r="8" spans="1:93" s="5" customFormat="1" x14ac:dyDescent="0.2">
      <c r="A8" s="5" t="s">
        <v>594</v>
      </c>
      <c r="B8" s="6" t="s">
        <v>424</v>
      </c>
      <c r="C8" s="6" t="s">
        <v>595</v>
      </c>
      <c r="D8" s="6" t="s">
        <v>513</v>
      </c>
      <c r="E8" s="6" t="s">
        <v>426</v>
      </c>
      <c r="F8" s="6" t="s">
        <v>11</v>
      </c>
      <c r="G8" s="6" t="s">
        <v>15</v>
      </c>
      <c r="H8" s="6" t="s">
        <v>19</v>
      </c>
      <c r="I8" s="6" t="s">
        <v>23</v>
      </c>
      <c r="J8" s="6" t="s">
        <v>28</v>
      </c>
      <c r="K8" s="6" t="s">
        <v>35</v>
      </c>
      <c r="L8" s="6" t="s">
        <v>40</v>
      </c>
      <c r="M8" s="6" t="s">
        <v>44</v>
      </c>
      <c r="N8" s="6" t="s">
        <v>48</v>
      </c>
      <c r="O8" s="6" t="s">
        <v>54</v>
      </c>
      <c r="P8" s="6" t="s">
        <v>59</v>
      </c>
      <c r="Q8" s="6" t="s">
        <v>60</v>
      </c>
      <c r="R8" s="6" t="s">
        <v>63</v>
      </c>
      <c r="S8" s="6" t="s">
        <v>66</v>
      </c>
      <c r="T8" s="6" t="s">
        <v>70</v>
      </c>
      <c r="U8" s="6" t="s">
        <v>74</v>
      </c>
      <c r="V8" s="6" t="s">
        <v>77</v>
      </c>
      <c r="W8" s="6" t="s">
        <v>79</v>
      </c>
      <c r="X8" s="6" t="s">
        <v>84</v>
      </c>
      <c r="Y8" s="6" t="s">
        <v>596</v>
      </c>
      <c r="Z8" s="6" t="s">
        <v>95</v>
      </c>
      <c r="AA8" s="6" t="s">
        <v>97</v>
      </c>
      <c r="AB8" s="6" t="s">
        <v>100</v>
      </c>
      <c r="AC8" s="6" t="s">
        <v>106</v>
      </c>
      <c r="AD8" s="6" t="s">
        <v>597</v>
      </c>
      <c r="AE8" s="6" t="s">
        <v>117</v>
      </c>
      <c r="AF8" s="6" t="s">
        <v>121</v>
      </c>
      <c r="AG8" s="6" t="s">
        <v>124</v>
      </c>
      <c r="AH8" s="6" t="s">
        <v>220</v>
      </c>
      <c r="AI8" s="6" t="s">
        <v>131</v>
      </c>
      <c r="AJ8" s="6" t="s">
        <v>135</v>
      </c>
      <c r="AK8" s="6" t="s">
        <v>138</v>
      </c>
      <c r="AL8" s="6" t="s">
        <v>143</v>
      </c>
      <c r="AM8" s="6" t="s">
        <v>216</v>
      </c>
      <c r="AN8" s="6" t="s">
        <v>149</v>
      </c>
      <c r="AO8" s="6" t="s">
        <v>219</v>
      </c>
      <c r="AP8" s="6" t="s">
        <v>152</v>
      </c>
      <c r="AQ8" s="6" t="s">
        <v>156</v>
      </c>
      <c r="AR8" s="6" t="s">
        <v>158</v>
      </c>
      <c r="AS8" s="6" t="s">
        <v>162</v>
      </c>
      <c r="AT8" s="6" t="s">
        <v>167</v>
      </c>
      <c r="AU8" s="6" t="s">
        <v>169</v>
      </c>
      <c r="AV8" s="6" t="s">
        <v>174</v>
      </c>
      <c r="AW8" s="6" t="s">
        <v>222</v>
      </c>
      <c r="AX8" s="6" t="s">
        <v>180</v>
      </c>
      <c r="AY8" s="6" t="s">
        <v>598</v>
      </c>
      <c r="AZ8" s="6" t="s">
        <v>192</v>
      </c>
      <c r="BA8" s="6" t="s">
        <v>198</v>
      </c>
      <c r="BB8" s="6" t="s">
        <v>203</v>
      </c>
      <c r="BC8" s="6" t="s">
        <v>208</v>
      </c>
      <c r="BD8" s="6" t="s">
        <v>211</v>
      </c>
      <c r="BE8" s="6" t="s">
        <v>213</v>
      </c>
      <c r="BF8" s="5" t="s">
        <v>599</v>
      </c>
      <c r="BG8" s="5" t="s">
        <v>600</v>
      </c>
      <c r="BH8" s="7" t="s">
        <v>601</v>
      </c>
      <c r="BI8" s="5" t="s">
        <v>602</v>
      </c>
      <c r="BJ8" s="7" t="s">
        <v>603</v>
      </c>
      <c r="BK8" s="7" t="s">
        <v>604</v>
      </c>
      <c r="BL8" s="5" t="s">
        <v>605</v>
      </c>
      <c r="BM8" s="5" t="s">
        <v>606</v>
      </c>
      <c r="BN8" s="5" t="s">
        <v>607</v>
      </c>
      <c r="BO8" s="5" t="s">
        <v>608</v>
      </c>
      <c r="BP8" s="7" t="s">
        <v>609</v>
      </c>
      <c r="BQ8" s="5" t="s">
        <v>610</v>
      </c>
      <c r="BR8" s="9" t="s">
        <v>611</v>
      </c>
      <c r="BS8" s="9" t="s">
        <v>612</v>
      </c>
      <c r="BT8" s="9" t="s">
        <v>613</v>
      </c>
      <c r="BU8" s="7" t="s">
        <v>614</v>
      </c>
      <c r="BV8" s="7" t="s">
        <v>615</v>
      </c>
      <c r="BW8" s="7" t="s">
        <v>443</v>
      </c>
      <c r="BX8" s="7" t="s">
        <v>616</v>
      </c>
      <c r="BY8" s="7" t="s">
        <v>617</v>
      </c>
      <c r="BZ8" s="9" t="s">
        <v>618</v>
      </c>
      <c r="CA8" s="9"/>
      <c r="CB8" s="9"/>
      <c r="CC8" s="9"/>
      <c r="CD8" s="9"/>
      <c r="CE8" s="9"/>
      <c r="CF8" s="9"/>
    </row>
    <row r="9" spans="1:93" x14ac:dyDescent="0.2"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1">
        <f>(AF9+BE9+AB9+AQ9)/4</f>
        <v>0</v>
      </c>
      <c r="BG9" s="11">
        <f>(AF9+H9+M9+AS9)/4</f>
        <v>0</v>
      </c>
      <c r="BH9" s="11">
        <f>(AE9+AZ9+AQ9+AS9+AU9)/5</f>
        <v>0</v>
      </c>
      <c r="BI9" s="11">
        <f>(R9+M9+AE9+AS9)/4</f>
        <v>0</v>
      </c>
      <c r="BJ9" s="11">
        <f>(AK9+H9+AE9+AV9+R9)/5</f>
        <v>0</v>
      </c>
      <c r="BK9" s="11">
        <f>(BD9+AL9+AP9+G9)/4</f>
        <v>0</v>
      </c>
      <c r="BL9" s="11">
        <f>(BD9+AP9+BC9+AV9+R9)/5</f>
        <v>0</v>
      </c>
      <c r="BM9" s="11">
        <f>(AJ9+AR9+AP9+G9)/4</f>
        <v>0</v>
      </c>
      <c r="BN9" s="11">
        <f>(AR9+BC9+AP9+G9)/4</f>
        <v>0</v>
      </c>
      <c r="BO9" s="11">
        <f>(AD9+X9+F9+S9+P9+O9)/6</f>
        <v>0</v>
      </c>
      <c r="BP9" s="11">
        <f>(BB9+S9+AT9+Z9)/4</f>
        <v>0</v>
      </c>
      <c r="BQ9" s="11">
        <f>(S9+AU9+AF9+AA9)/4</f>
        <v>0</v>
      </c>
      <c r="BR9" s="11">
        <f>MAX(BF9:BQ9)</f>
        <v>0</v>
      </c>
      <c r="BS9" s="13">
        <f>MATCH(BR9,BF9:BQ9,0)</f>
        <v>1</v>
      </c>
      <c r="BT9" s="14" t="str">
        <f>INDEX(BF$3:BQ$3,BS9)</f>
        <v>Sage</v>
      </c>
      <c r="BU9" s="11">
        <f>(P9+L9+AE9+BE9)/4</f>
        <v>0</v>
      </c>
      <c r="BV9" s="11">
        <f>(BE9+AQ9+AF9+AB9)/4</f>
        <v>0</v>
      </c>
      <c r="BW9" s="11">
        <f>(H9+R9+AK9+AS9)/4</f>
        <v>0</v>
      </c>
      <c r="BX9" s="11">
        <f>(BC9+BD9+AP9+AV9)/4</f>
        <v>0</v>
      </c>
      <c r="BY9" s="11">
        <f>(F9+S9+X9+AD9)/4</f>
        <v>0</v>
      </c>
      <c r="BZ9" s="13">
        <f>IF(BS9=BS8,BZ8+1,1)</f>
        <v>1</v>
      </c>
      <c r="CA9" s="14"/>
      <c r="CB9" s="14"/>
      <c r="CC9" s="14"/>
      <c r="CD9" s="14"/>
      <c r="CE9" s="14"/>
      <c r="CF9" s="14"/>
      <c r="CG9" s="14"/>
      <c r="CI9" s="14"/>
      <c r="CJ9" s="14"/>
      <c r="CK9" s="14"/>
      <c r="CL9" s="14"/>
    </row>
    <row r="10" spans="1:93" x14ac:dyDescent="0.2">
      <c r="CO10" s="13"/>
    </row>
    <row r="11" spans="1:93" x14ac:dyDescent="0.2">
      <c r="E11" t="s">
        <v>599</v>
      </c>
      <c r="F11">
        <v>15</v>
      </c>
      <c r="G11">
        <v>81</v>
      </c>
      <c r="I11" t="s">
        <v>443</v>
      </c>
      <c r="J11">
        <v>85</v>
      </c>
      <c r="K11">
        <v>95</v>
      </c>
      <c r="BC11" t="s">
        <v>249</v>
      </c>
      <c r="BD11" s="6" t="s">
        <v>11</v>
      </c>
      <c r="BF11" t="s">
        <v>121</v>
      </c>
      <c r="BG11" t="s">
        <v>121</v>
      </c>
      <c r="BH11" s="17" t="s">
        <v>117</v>
      </c>
      <c r="BI11" t="s">
        <v>63</v>
      </c>
      <c r="BJ11" s="17" t="s">
        <v>174</v>
      </c>
      <c r="BK11" s="17" t="s">
        <v>211</v>
      </c>
      <c r="BL11" t="s">
        <v>211</v>
      </c>
      <c r="BM11" t="s">
        <v>135</v>
      </c>
      <c r="BN11" t="s">
        <v>152</v>
      </c>
      <c r="BO11" t="s">
        <v>597</v>
      </c>
      <c r="BP11" s="17" t="s">
        <v>203</v>
      </c>
      <c r="BQ11" t="s">
        <v>66</v>
      </c>
      <c r="BU11" s="17" t="s">
        <v>59</v>
      </c>
      <c r="BV11" s="17" t="s">
        <v>213</v>
      </c>
      <c r="BW11" s="17" t="s">
        <v>19</v>
      </c>
      <c r="BX11" s="17" t="s">
        <v>208</v>
      </c>
      <c r="BY11" s="17" t="s">
        <v>11</v>
      </c>
      <c r="CO11" s="13"/>
    </row>
    <row r="12" spans="1:93" x14ac:dyDescent="0.2">
      <c r="E12" t="s">
        <v>600</v>
      </c>
      <c r="F12">
        <v>42</v>
      </c>
      <c r="G12">
        <v>81</v>
      </c>
      <c r="I12" t="s">
        <v>616</v>
      </c>
      <c r="J12">
        <v>85</v>
      </c>
      <c r="K12">
        <v>5</v>
      </c>
      <c r="BC12" t="s">
        <v>623</v>
      </c>
      <c r="BD12" s="6" t="s">
        <v>15</v>
      </c>
      <c r="BF12" t="s">
        <v>213</v>
      </c>
      <c r="BG12" t="s">
        <v>19</v>
      </c>
      <c r="BH12" s="17" t="s">
        <v>169</v>
      </c>
      <c r="BI12" t="s">
        <v>44</v>
      </c>
      <c r="BJ12" s="17" t="s">
        <v>138</v>
      </c>
      <c r="BK12" s="17" t="s">
        <v>143</v>
      </c>
      <c r="BL12" t="s">
        <v>152</v>
      </c>
      <c r="BM12" t="s">
        <v>158</v>
      </c>
      <c r="BN12" t="s">
        <v>158</v>
      </c>
      <c r="BO12" t="s">
        <v>84</v>
      </c>
      <c r="BP12" s="17" t="s">
        <v>167</v>
      </c>
      <c r="BQ12" t="s">
        <v>169</v>
      </c>
      <c r="BU12" s="17" t="s">
        <v>40</v>
      </c>
      <c r="BV12" s="17" t="s">
        <v>156</v>
      </c>
      <c r="BW12" s="17" t="s">
        <v>63</v>
      </c>
      <c r="BX12" s="17" t="s">
        <v>211</v>
      </c>
      <c r="BY12" s="17" t="s">
        <v>66</v>
      </c>
      <c r="CO12" s="13"/>
    </row>
    <row r="13" spans="1:93" x14ac:dyDescent="0.2">
      <c r="E13" t="s">
        <v>601</v>
      </c>
      <c r="F13">
        <v>54</v>
      </c>
      <c r="G13">
        <v>61</v>
      </c>
      <c r="I13" t="s">
        <v>617</v>
      </c>
      <c r="J13">
        <v>0</v>
      </c>
      <c r="K13">
        <v>5</v>
      </c>
      <c r="BC13" t="s">
        <v>624</v>
      </c>
      <c r="BD13" s="6" t="s">
        <v>19</v>
      </c>
      <c r="BF13" t="s">
        <v>156</v>
      </c>
      <c r="BG13" t="s">
        <v>44</v>
      </c>
      <c r="BH13" s="17" t="s">
        <v>156</v>
      </c>
      <c r="BI13" t="s">
        <v>117</v>
      </c>
      <c r="BJ13" s="17" t="s">
        <v>19</v>
      </c>
      <c r="BK13" s="17" t="s">
        <v>152</v>
      </c>
      <c r="BL13" t="s">
        <v>208</v>
      </c>
      <c r="BM13" t="s">
        <v>152</v>
      </c>
      <c r="BN13" t="s">
        <v>208</v>
      </c>
      <c r="BO13" t="s">
        <v>11</v>
      </c>
      <c r="BP13" s="17" t="s">
        <v>95</v>
      </c>
      <c r="BQ13" t="s">
        <v>121</v>
      </c>
      <c r="BU13" s="17" t="s">
        <v>117</v>
      </c>
      <c r="BV13" s="17" t="s">
        <v>121</v>
      </c>
      <c r="BW13" s="17" t="s">
        <v>138</v>
      </c>
      <c r="BX13" s="17" t="s">
        <v>152</v>
      </c>
      <c r="BY13" s="17" t="s">
        <v>84</v>
      </c>
      <c r="CO13" s="13"/>
    </row>
    <row r="14" spans="1:93" x14ac:dyDescent="0.2">
      <c r="E14" t="s">
        <v>602</v>
      </c>
      <c r="F14">
        <v>72</v>
      </c>
      <c r="G14">
        <v>81</v>
      </c>
      <c r="I14" t="s">
        <v>615</v>
      </c>
      <c r="J14">
        <v>0</v>
      </c>
      <c r="K14">
        <v>95</v>
      </c>
      <c r="BC14" t="s">
        <v>625</v>
      </c>
      <c r="BD14" s="6" t="s">
        <v>23</v>
      </c>
      <c r="BF14" t="s">
        <v>100</v>
      </c>
      <c r="BG14" t="s">
        <v>162</v>
      </c>
      <c r="BH14" s="17" t="s">
        <v>192</v>
      </c>
      <c r="BI14" t="s">
        <v>162</v>
      </c>
      <c r="BJ14" s="17" t="s">
        <v>117</v>
      </c>
      <c r="BK14" s="17" t="s">
        <v>15</v>
      </c>
      <c r="BL14" t="s">
        <v>174</v>
      </c>
      <c r="BM14" t="s">
        <v>15</v>
      </c>
      <c r="BN14" t="s">
        <v>15</v>
      </c>
      <c r="BO14" t="s">
        <v>66</v>
      </c>
      <c r="BP14" s="17" t="s">
        <v>66</v>
      </c>
      <c r="BQ14" t="s">
        <v>97</v>
      </c>
      <c r="BU14" s="17" t="s">
        <v>213</v>
      </c>
      <c r="BV14" s="17" t="s">
        <v>100</v>
      </c>
      <c r="BW14" s="17" t="s">
        <v>162</v>
      </c>
      <c r="BX14" s="17" t="s">
        <v>174</v>
      </c>
      <c r="BY14" s="17" t="s">
        <v>597</v>
      </c>
      <c r="CO14" s="13"/>
    </row>
    <row r="15" spans="1:93" x14ac:dyDescent="0.2">
      <c r="E15" t="s">
        <v>603</v>
      </c>
      <c r="F15">
        <v>74</v>
      </c>
      <c r="G15">
        <v>50</v>
      </c>
      <c r="BC15" t="s">
        <v>626</v>
      </c>
      <c r="BD15" s="6" t="s">
        <v>28</v>
      </c>
      <c r="BH15" t="s">
        <v>162</v>
      </c>
      <c r="BJ15" t="s">
        <v>63</v>
      </c>
      <c r="BK15" s="17"/>
      <c r="BL15" t="s">
        <v>63</v>
      </c>
      <c r="BO15" t="s">
        <v>59</v>
      </c>
      <c r="BP15" s="17"/>
      <c r="CO15" s="13"/>
    </row>
    <row r="16" spans="1:93" x14ac:dyDescent="0.2">
      <c r="E16" t="s">
        <v>604</v>
      </c>
      <c r="F16">
        <v>56</v>
      </c>
      <c r="G16">
        <v>39</v>
      </c>
      <c r="BC16" t="s">
        <v>248</v>
      </c>
      <c r="BD16" s="6" t="s">
        <v>35</v>
      </c>
      <c r="BO16" t="s">
        <v>54</v>
      </c>
      <c r="CO16" s="13"/>
    </row>
    <row r="17" spans="1:93" x14ac:dyDescent="0.2">
      <c r="E17" t="s">
        <v>605</v>
      </c>
      <c r="F17">
        <v>68</v>
      </c>
      <c r="G17">
        <v>19</v>
      </c>
      <c r="BC17" t="s">
        <v>627</v>
      </c>
      <c r="BD17" s="6" t="s">
        <v>40</v>
      </c>
      <c r="CO17" s="13"/>
    </row>
    <row r="18" spans="1:93" x14ac:dyDescent="0.2">
      <c r="E18" t="s">
        <v>606</v>
      </c>
      <c r="F18">
        <v>43.5</v>
      </c>
      <c r="G18">
        <v>19</v>
      </c>
      <c r="BC18" t="s">
        <v>628</v>
      </c>
      <c r="BD18" s="6" t="s">
        <v>44</v>
      </c>
      <c r="CO18" s="13"/>
    </row>
    <row r="19" spans="1:93" x14ac:dyDescent="0.2">
      <c r="E19" t="s">
        <v>607</v>
      </c>
      <c r="F19">
        <v>28.5</v>
      </c>
      <c r="G19">
        <v>39</v>
      </c>
      <c r="BC19" t="s">
        <v>629</v>
      </c>
      <c r="BD19" s="6" t="s">
        <v>48</v>
      </c>
      <c r="BF19" t="str">
        <f t="shared" ref="BF19:BQ25" si="0">INDEX($BC$11:$BC$62,MATCH(BF11,$BD$11:$BD$62,0))</f>
        <v>AF</v>
      </c>
      <c r="BG19" t="str">
        <f t="shared" si="0"/>
        <v>AF</v>
      </c>
      <c r="BH19" t="str">
        <f t="shared" si="0"/>
        <v>AE</v>
      </c>
      <c r="BI19" t="str">
        <f t="shared" si="0"/>
        <v>R</v>
      </c>
      <c r="BJ19" t="str">
        <f t="shared" si="0"/>
        <v>AV</v>
      </c>
      <c r="BK19" t="str">
        <f t="shared" si="0"/>
        <v>BD</v>
      </c>
      <c r="BL19" t="str">
        <f t="shared" si="0"/>
        <v>BD</v>
      </c>
      <c r="BM19" t="str">
        <f t="shared" si="0"/>
        <v>AJ</v>
      </c>
      <c r="BN19" t="str">
        <f t="shared" si="0"/>
        <v>AP</v>
      </c>
      <c r="BO19" t="str">
        <f t="shared" si="0"/>
        <v>AD</v>
      </c>
      <c r="BP19" t="str">
        <f t="shared" si="0"/>
        <v>BB</v>
      </c>
      <c r="BQ19" t="str">
        <f t="shared" si="0"/>
        <v>S</v>
      </c>
      <c r="BU19" t="str">
        <f t="shared" ref="BU19:BY25" si="1">INDEX($BC$11:$BC$62,MATCH(BU11,$BD$11:$BD$62,0))</f>
        <v>P</v>
      </c>
      <c r="BV19" t="str">
        <f t="shared" si="1"/>
        <v>BE</v>
      </c>
      <c r="BW19" t="str">
        <f t="shared" si="1"/>
        <v>H</v>
      </c>
      <c r="BX19" t="str">
        <f t="shared" si="1"/>
        <v>BC</v>
      </c>
      <c r="BY19" t="str">
        <f t="shared" si="1"/>
        <v>F</v>
      </c>
    </row>
    <row r="20" spans="1:93" ht="25.5" x14ac:dyDescent="0.2">
      <c r="E20" s="18" t="s">
        <v>608</v>
      </c>
      <c r="F20">
        <v>11</v>
      </c>
      <c r="G20">
        <v>19</v>
      </c>
      <c r="BC20" t="s">
        <v>630</v>
      </c>
      <c r="BD20" s="6" t="s">
        <v>54</v>
      </c>
      <c r="BF20" t="str">
        <f t="shared" si="0"/>
        <v>BE</v>
      </c>
      <c r="BG20" t="str">
        <f t="shared" si="0"/>
        <v>H</v>
      </c>
      <c r="BH20" t="str">
        <f t="shared" si="0"/>
        <v>AU</v>
      </c>
      <c r="BI20" t="str">
        <f t="shared" si="0"/>
        <v>M</v>
      </c>
      <c r="BJ20" t="str">
        <f t="shared" si="0"/>
        <v>AK</v>
      </c>
      <c r="BK20" t="str">
        <f t="shared" si="0"/>
        <v>AL</v>
      </c>
      <c r="BL20" t="str">
        <f t="shared" si="0"/>
        <v>AP</v>
      </c>
      <c r="BM20" t="str">
        <f t="shared" si="0"/>
        <v>AR</v>
      </c>
      <c r="BN20" t="str">
        <f t="shared" si="0"/>
        <v>AR</v>
      </c>
      <c r="BO20" t="str">
        <f t="shared" si="0"/>
        <v>X</v>
      </c>
      <c r="BP20" t="str">
        <f t="shared" si="0"/>
        <v>AT</v>
      </c>
      <c r="BQ20" t="str">
        <f t="shared" si="0"/>
        <v>AU</v>
      </c>
      <c r="BU20" t="str">
        <f t="shared" si="1"/>
        <v>L</v>
      </c>
      <c r="BV20" t="str">
        <f t="shared" si="1"/>
        <v>AQ</v>
      </c>
      <c r="BW20" t="str">
        <f t="shared" si="1"/>
        <v>R</v>
      </c>
      <c r="BX20" t="str">
        <f t="shared" si="1"/>
        <v>BD</v>
      </c>
      <c r="BY20" t="str">
        <f t="shared" si="1"/>
        <v>S</v>
      </c>
    </row>
    <row r="21" spans="1:93" x14ac:dyDescent="0.2">
      <c r="E21" t="s">
        <v>609</v>
      </c>
      <c r="F21">
        <v>11</v>
      </c>
      <c r="G21">
        <v>50</v>
      </c>
      <c r="BC21" t="s">
        <v>631</v>
      </c>
      <c r="BD21" s="6" t="s">
        <v>59</v>
      </c>
      <c r="BF21" t="str">
        <f t="shared" si="0"/>
        <v>AQ</v>
      </c>
      <c r="BG21" t="str">
        <f t="shared" si="0"/>
        <v>M</v>
      </c>
      <c r="BH21" t="str">
        <f t="shared" si="0"/>
        <v>AQ</v>
      </c>
      <c r="BI21" t="str">
        <f t="shared" si="0"/>
        <v>AE</v>
      </c>
      <c r="BJ21" t="str">
        <f t="shared" si="0"/>
        <v>H</v>
      </c>
      <c r="BK21" t="str">
        <f t="shared" si="0"/>
        <v>AP</v>
      </c>
      <c r="BL21" t="str">
        <f t="shared" si="0"/>
        <v>BC</v>
      </c>
      <c r="BM21" t="str">
        <f t="shared" si="0"/>
        <v>AP</v>
      </c>
      <c r="BN21" t="str">
        <f t="shared" si="0"/>
        <v>BC</v>
      </c>
      <c r="BO21" t="str">
        <f t="shared" si="0"/>
        <v>F</v>
      </c>
      <c r="BP21" t="str">
        <f t="shared" si="0"/>
        <v>Z</v>
      </c>
      <c r="BQ21" t="str">
        <f t="shared" si="0"/>
        <v>AF</v>
      </c>
      <c r="BU21" t="str">
        <f t="shared" si="1"/>
        <v>AE</v>
      </c>
      <c r="BV21" t="str">
        <f t="shared" si="1"/>
        <v>AF</v>
      </c>
      <c r="BW21" t="str">
        <f t="shared" si="1"/>
        <v>AK</v>
      </c>
      <c r="BX21" t="str">
        <f t="shared" si="1"/>
        <v>AP</v>
      </c>
      <c r="BY21" t="str">
        <f t="shared" si="1"/>
        <v>X</v>
      </c>
    </row>
    <row r="22" spans="1:93" x14ac:dyDescent="0.2">
      <c r="E22" t="s">
        <v>610</v>
      </c>
      <c r="F22">
        <v>30</v>
      </c>
      <c r="G22">
        <v>61</v>
      </c>
      <c r="BC22" t="s">
        <v>632</v>
      </c>
      <c r="BD22" s="6" t="s">
        <v>60</v>
      </c>
      <c r="BF22" t="str">
        <f t="shared" si="0"/>
        <v>AB</v>
      </c>
      <c r="BG22" t="str">
        <f t="shared" si="0"/>
        <v>AS</v>
      </c>
      <c r="BH22" t="str">
        <f t="shared" si="0"/>
        <v>AZ</v>
      </c>
      <c r="BI22" t="str">
        <f t="shared" si="0"/>
        <v>AS</v>
      </c>
      <c r="BJ22" t="str">
        <f t="shared" si="0"/>
        <v>AE</v>
      </c>
      <c r="BK22" t="str">
        <f t="shared" si="0"/>
        <v>G</v>
      </c>
      <c r="BL22" t="str">
        <f t="shared" si="0"/>
        <v>AV</v>
      </c>
      <c r="BM22" t="str">
        <f t="shared" si="0"/>
        <v>G</v>
      </c>
      <c r="BN22" t="str">
        <f t="shared" si="0"/>
        <v>G</v>
      </c>
      <c r="BO22" t="str">
        <f t="shared" si="0"/>
        <v>S</v>
      </c>
      <c r="BP22" t="str">
        <f t="shared" si="0"/>
        <v>S</v>
      </c>
      <c r="BQ22" t="str">
        <f t="shared" si="0"/>
        <v>AA</v>
      </c>
      <c r="BU22" t="str">
        <f t="shared" si="1"/>
        <v>BE</v>
      </c>
      <c r="BV22" t="str">
        <f t="shared" si="1"/>
        <v>AB</v>
      </c>
      <c r="BW22" t="str">
        <f t="shared" si="1"/>
        <v>AS</v>
      </c>
      <c r="BX22" t="str">
        <f t="shared" si="1"/>
        <v>AV</v>
      </c>
      <c r="BY22" t="str">
        <f t="shared" si="1"/>
        <v>AD</v>
      </c>
    </row>
    <row r="23" spans="1:93" x14ac:dyDescent="0.2">
      <c r="BC23" t="s">
        <v>246</v>
      </c>
      <c r="BD23" s="6" t="s">
        <v>63</v>
      </c>
      <c r="BF23" t="e">
        <f t="shared" si="0"/>
        <v>#N/A</v>
      </c>
      <c r="BG23" t="e">
        <f t="shared" si="0"/>
        <v>#N/A</v>
      </c>
      <c r="BH23" t="str">
        <f t="shared" si="0"/>
        <v>AS</v>
      </c>
      <c r="BI23" t="e">
        <f t="shared" si="0"/>
        <v>#N/A</v>
      </c>
      <c r="BJ23" t="str">
        <f t="shared" si="0"/>
        <v>R</v>
      </c>
      <c r="BK23" t="e">
        <f t="shared" si="0"/>
        <v>#N/A</v>
      </c>
      <c r="BL23" t="str">
        <f t="shared" si="0"/>
        <v>R</v>
      </c>
      <c r="BM23" t="e">
        <f t="shared" si="0"/>
        <v>#N/A</v>
      </c>
      <c r="BN23" t="e">
        <f t="shared" si="0"/>
        <v>#N/A</v>
      </c>
      <c r="BO23" t="str">
        <f t="shared" si="0"/>
        <v>P</v>
      </c>
      <c r="BP23" t="e">
        <f t="shared" si="0"/>
        <v>#N/A</v>
      </c>
      <c r="BQ23" t="e">
        <f t="shared" si="0"/>
        <v>#N/A</v>
      </c>
      <c r="BU23" t="e">
        <f t="shared" si="1"/>
        <v>#N/A</v>
      </c>
      <c r="BV23" t="e">
        <f t="shared" si="1"/>
        <v>#N/A</v>
      </c>
      <c r="BW23" t="e">
        <f t="shared" si="1"/>
        <v>#N/A</v>
      </c>
      <c r="BX23" t="e">
        <f t="shared" si="1"/>
        <v>#N/A</v>
      </c>
      <c r="BY23" t="e">
        <f t="shared" si="1"/>
        <v>#N/A</v>
      </c>
    </row>
    <row r="24" spans="1:93" x14ac:dyDescent="0.2">
      <c r="BC24" t="s">
        <v>633</v>
      </c>
      <c r="BD24" s="6" t="s">
        <v>66</v>
      </c>
      <c r="BF24" t="e">
        <f t="shared" si="0"/>
        <v>#N/A</v>
      </c>
      <c r="BG24" t="e">
        <f t="shared" si="0"/>
        <v>#N/A</v>
      </c>
      <c r="BH24" t="e">
        <f t="shared" si="0"/>
        <v>#N/A</v>
      </c>
      <c r="BI24" t="e">
        <f t="shared" si="0"/>
        <v>#N/A</v>
      </c>
      <c r="BJ24" t="e">
        <f t="shared" si="0"/>
        <v>#N/A</v>
      </c>
      <c r="BK24" t="e">
        <f t="shared" si="0"/>
        <v>#N/A</v>
      </c>
      <c r="BL24" t="e">
        <f t="shared" si="0"/>
        <v>#N/A</v>
      </c>
      <c r="BM24" t="e">
        <f t="shared" si="0"/>
        <v>#N/A</v>
      </c>
      <c r="BN24" t="e">
        <f t="shared" si="0"/>
        <v>#N/A</v>
      </c>
      <c r="BO24" t="str">
        <f t="shared" si="0"/>
        <v>O</v>
      </c>
      <c r="BP24" t="e">
        <f t="shared" si="0"/>
        <v>#N/A</v>
      </c>
      <c r="BQ24" t="e">
        <f t="shared" si="0"/>
        <v>#N/A</v>
      </c>
      <c r="BU24" t="e">
        <f t="shared" si="1"/>
        <v>#N/A</v>
      </c>
      <c r="BV24" t="e">
        <f t="shared" si="1"/>
        <v>#N/A</v>
      </c>
      <c r="BW24" t="e">
        <f t="shared" si="1"/>
        <v>#N/A</v>
      </c>
      <c r="BX24" t="e">
        <f t="shared" si="1"/>
        <v>#N/A</v>
      </c>
      <c r="BY24" t="e">
        <f t="shared" si="1"/>
        <v>#N/A</v>
      </c>
    </row>
    <row r="25" spans="1:93" x14ac:dyDescent="0.2">
      <c r="BC25" t="s">
        <v>634</v>
      </c>
      <c r="BD25" s="6" t="s">
        <v>70</v>
      </c>
      <c r="BF25" t="e">
        <f t="shared" si="0"/>
        <v>#N/A</v>
      </c>
      <c r="BG25" t="e">
        <f t="shared" si="0"/>
        <v>#N/A</v>
      </c>
      <c r="BH25" t="e">
        <f t="shared" si="0"/>
        <v>#N/A</v>
      </c>
      <c r="BI25" t="e">
        <f t="shared" si="0"/>
        <v>#N/A</v>
      </c>
      <c r="BJ25" t="e">
        <f t="shared" si="0"/>
        <v>#N/A</v>
      </c>
      <c r="BK25" t="e">
        <f t="shared" si="0"/>
        <v>#N/A</v>
      </c>
      <c r="BL25" t="e">
        <f t="shared" si="0"/>
        <v>#N/A</v>
      </c>
      <c r="BM25" t="e">
        <f t="shared" si="0"/>
        <v>#N/A</v>
      </c>
      <c r="BN25" t="e">
        <f t="shared" si="0"/>
        <v>#N/A</v>
      </c>
      <c r="BO25" t="e">
        <f t="shared" si="0"/>
        <v>#N/A</v>
      </c>
      <c r="BP25" t="e">
        <f t="shared" si="0"/>
        <v>#N/A</v>
      </c>
      <c r="BQ25" t="e">
        <f t="shared" si="0"/>
        <v>#N/A</v>
      </c>
      <c r="BU25" t="e">
        <f t="shared" si="1"/>
        <v>#N/A</v>
      </c>
      <c r="BV25" t="e">
        <f t="shared" si="1"/>
        <v>#N/A</v>
      </c>
      <c r="BW25" t="e">
        <f t="shared" si="1"/>
        <v>#N/A</v>
      </c>
      <c r="BX25" t="e">
        <f t="shared" si="1"/>
        <v>#N/A</v>
      </c>
      <c r="BY25" t="e">
        <f t="shared" si="1"/>
        <v>#N/A</v>
      </c>
    </row>
    <row r="26" spans="1:93" x14ac:dyDescent="0.2">
      <c r="BC26" t="s">
        <v>635</v>
      </c>
      <c r="BD26" s="6" t="s">
        <v>74</v>
      </c>
    </row>
    <row r="27" spans="1:93" x14ac:dyDescent="0.2">
      <c r="BC27" t="s">
        <v>636</v>
      </c>
      <c r="BD27" s="6" t="s">
        <v>77</v>
      </c>
      <c r="BO27" s="19"/>
    </row>
    <row r="28" spans="1:93" x14ac:dyDescent="0.2">
      <c r="BC28" t="s">
        <v>637</v>
      </c>
      <c r="BD28" s="6" t="s">
        <v>79</v>
      </c>
      <c r="BO28" s="20"/>
    </row>
    <row r="29" spans="1:93" x14ac:dyDescent="0.2">
      <c r="BC29" t="s">
        <v>619</v>
      </c>
      <c r="BD29" s="6" t="s">
        <v>84</v>
      </c>
      <c r="BO29" s="20"/>
    </row>
    <row r="30" spans="1:93" x14ac:dyDescent="0.2">
      <c r="BC30" t="s">
        <v>620</v>
      </c>
      <c r="BD30" s="6" t="s">
        <v>596</v>
      </c>
    </row>
    <row r="31" spans="1:93" x14ac:dyDescent="0.2">
      <c r="BC31" t="s">
        <v>638</v>
      </c>
      <c r="BD31" s="6" t="s">
        <v>95</v>
      </c>
    </row>
    <row r="32" spans="1:93" x14ac:dyDescent="0.2">
      <c r="A32">
        <v>10</v>
      </c>
      <c r="B32">
        <v>10</v>
      </c>
      <c r="D32">
        <v>90</v>
      </c>
      <c r="E32">
        <v>10</v>
      </c>
      <c r="G32">
        <v>90</v>
      </c>
      <c r="H32">
        <v>90</v>
      </c>
      <c r="J32">
        <v>10</v>
      </c>
      <c r="K32">
        <v>90</v>
      </c>
      <c r="BC32" t="s">
        <v>639</v>
      </c>
      <c r="BD32" s="6" t="s">
        <v>97</v>
      </c>
    </row>
    <row r="33" spans="1:56" x14ac:dyDescent="0.2">
      <c r="A33">
        <v>90</v>
      </c>
      <c r="B33">
        <v>10</v>
      </c>
      <c r="D33">
        <v>90</v>
      </c>
      <c r="E33">
        <v>90</v>
      </c>
      <c r="G33">
        <v>10</v>
      </c>
      <c r="H33">
        <v>90</v>
      </c>
      <c r="J33">
        <v>10</v>
      </c>
      <c r="K33">
        <v>10</v>
      </c>
      <c r="BC33" t="s">
        <v>640</v>
      </c>
      <c r="BD33" s="6" t="s">
        <v>100</v>
      </c>
    </row>
    <row r="34" spans="1:56" x14ac:dyDescent="0.2">
      <c r="BC34" t="s">
        <v>641</v>
      </c>
      <c r="BD34" s="6" t="s">
        <v>106</v>
      </c>
    </row>
    <row r="35" spans="1:56" x14ac:dyDescent="0.2">
      <c r="A35">
        <v>27</v>
      </c>
      <c r="B35">
        <v>27</v>
      </c>
      <c r="D35">
        <v>73</v>
      </c>
      <c r="E35">
        <v>27</v>
      </c>
      <c r="G35">
        <v>73</v>
      </c>
      <c r="H35">
        <v>73</v>
      </c>
      <c r="J35">
        <v>27</v>
      </c>
      <c r="K35">
        <v>73</v>
      </c>
      <c r="BC35" t="s">
        <v>642</v>
      </c>
      <c r="BD35" s="6" t="s">
        <v>597</v>
      </c>
    </row>
    <row r="36" spans="1:56" x14ac:dyDescent="0.2">
      <c r="A36">
        <v>73</v>
      </c>
      <c r="B36">
        <v>27</v>
      </c>
      <c r="D36">
        <v>73</v>
      </c>
      <c r="E36">
        <v>73</v>
      </c>
      <c r="G36">
        <v>27</v>
      </c>
      <c r="H36">
        <v>73</v>
      </c>
      <c r="J36">
        <v>27</v>
      </c>
      <c r="K36">
        <v>27</v>
      </c>
      <c r="BC36" t="s">
        <v>643</v>
      </c>
      <c r="BD36" s="6" t="s">
        <v>117</v>
      </c>
    </row>
    <row r="37" spans="1:56" x14ac:dyDescent="0.2">
      <c r="BC37" t="s">
        <v>644</v>
      </c>
      <c r="BD37" s="6" t="s">
        <v>121</v>
      </c>
    </row>
    <row r="38" spans="1:56" x14ac:dyDescent="0.2">
      <c r="A38">
        <v>27</v>
      </c>
      <c r="B38">
        <v>50</v>
      </c>
      <c r="D38">
        <v>50</v>
      </c>
      <c r="E38">
        <v>27</v>
      </c>
      <c r="G38">
        <v>34</v>
      </c>
      <c r="H38">
        <v>10</v>
      </c>
      <c r="J38">
        <v>66</v>
      </c>
      <c r="K38">
        <v>10</v>
      </c>
      <c r="BC38" t="s">
        <v>645</v>
      </c>
      <c r="BD38" s="6" t="s">
        <v>124</v>
      </c>
    </row>
    <row r="39" spans="1:56" x14ac:dyDescent="0.2">
      <c r="A39">
        <v>73</v>
      </c>
      <c r="B39">
        <v>50</v>
      </c>
      <c r="D39">
        <v>50</v>
      </c>
      <c r="E39">
        <v>73</v>
      </c>
      <c r="G39">
        <v>34</v>
      </c>
      <c r="H39">
        <v>27</v>
      </c>
      <c r="J39">
        <v>66</v>
      </c>
      <c r="K39">
        <v>27</v>
      </c>
      <c r="BC39" t="s">
        <v>646</v>
      </c>
      <c r="BD39" s="6" t="s">
        <v>220</v>
      </c>
    </row>
    <row r="40" spans="1:56" x14ac:dyDescent="0.2">
      <c r="BC40" t="s">
        <v>647</v>
      </c>
      <c r="BD40" s="6" t="s">
        <v>131</v>
      </c>
    </row>
    <row r="41" spans="1:56" x14ac:dyDescent="0.2">
      <c r="A41">
        <v>73</v>
      </c>
      <c r="B41">
        <v>34</v>
      </c>
      <c r="D41">
        <v>73</v>
      </c>
      <c r="E41">
        <v>66</v>
      </c>
      <c r="G41">
        <v>66</v>
      </c>
      <c r="H41">
        <v>73</v>
      </c>
      <c r="J41">
        <v>34</v>
      </c>
      <c r="K41">
        <v>73</v>
      </c>
      <c r="BC41" t="s">
        <v>648</v>
      </c>
      <c r="BD41" s="6" t="s">
        <v>135</v>
      </c>
    </row>
    <row r="42" spans="1:56" x14ac:dyDescent="0.2">
      <c r="A42">
        <v>90</v>
      </c>
      <c r="B42">
        <v>34</v>
      </c>
      <c r="D42">
        <v>90</v>
      </c>
      <c r="E42">
        <v>66</v>
      </c>
      <c r="G42">
        <v>66</v>
      </c>
      <c r="H42">
        <v>90</v>
      </c>
      <c r="J42">
        <v>34</v>
      </c>
      <c r="K42">
        <v>90</v>
      </c>
      <c r="BC42" t="s">
        <v>649</v>
      </c>
      <c r="BD42" s="6" t="s">
        <v>138</v>
      </c>
    </row>
    <row r="43" spans="1:56" x14ac:dyDescent="0.2">
      <c r="BC43" t="s">
        <v>650</v>
      </c>
      <c r="BD43" s="6" t="s">
        <v>143</v>
      </c>
    </row>
    <row r="44" spans="1:56" x14ac:dyDescent="0.2">
      <c r="A44">
        <v>10</v>
      </c>
      <c r="B44">
        <v>66</v>
      </c>
      <c r="D44">
        <v>10</v>
      </c>
      <c r="E44">
        <v>34</v>
      </c>
      <c r="BC44" t="s">
        <v>651</v>
      </c>
      <c r="BD44" s="6" t="s">
        <v>216</v>
      </c>
    </row>
    <row r="45" spans="1:56" x14ac:dyDescent="0.2">
      <c r="A45">
        <v>27</v>
      </c>
      <c r="B45">
        <v>66</v>
      </c>
      <c r="D45">
        <v>27</v>
      </c>
      <c r="E45">
        <v>34</v>
      </c>
      <c r="BC45" t="s">
        <v>652</v>
      </c>
      <c r="BD45" s="6" t="s">
        <v>149</v>
      </c>
    </row>
    <row r="46" spans="1:56" x14ac:dyDescent="0.2">
      <c r="BC46" t="s">
        <v>653</v>
      </c>
      <c r="BD46" s="6" t="s">
        <v>219</v>
      </c>
    </row>
    <row r="47" spans="1:56" x14ac:dyDescent="0.2">
      <c r="BC47" t="s">
        <v>654</v>
      </c>
      <c r="BD47" s="6" t="s">
        <v>152</v>
      </c>
    </row>
    <row r="48" spans="1:56" x14ac:dyDescent="0.2">
      <c r="BC48" t="s">
        <v>655</v>
      </c>
      <c r="BD48" s="6" t="s">
        <v>156</v>
      </c>
    </row>
    <row r="49" spans="55:56" x14ac:dyDescent="0.2">
      <c r="BC49" t="s">
        <v>656</v>
      </c>
      <c r="BD49" s="6" t="s">
        <v>158</v>
      </c>
    </row>
    <row r="50" spans="55:56" x14ac:dyDescent="0.2">
      <c r="BC50" t="s">
        <v>657</v>
      </c>
      <c r="BD50" s="6" t="s">
        <v>162</v>
      </c>
    </row>
    <row r="51" spans="55:56" x14ac:dyDescent="0.2">
      <c r="BC51" t="s">
        <v>658</v>
      </c>
      <c r="BD51" s="6" t="s">
        <v>167</v>
      </c>
    </row>
    <row r="52" spans="55:56" x14ac:dyDescent="0.2">
      <c r="BC52" t="s">
        <v>659</v>
      </c>
      <c r="BD52" s="6" t="s">
        <v>169</v>
      </c>
    </row>
    <row r="53" spans="55:56" x14ac:dyDescent="0.2">
      <c r="BC53" t="s">
        <v>660</v>
      </c>
      <c r="BD53" s="6" t="s">
        <v>174</v>
      </c>
    </row>
    <row r="54" spans="55:56" x14ac:dyDescent="0.2">
      <c r="BC54" t="s">
        <v>661</v>
      </c>
      <c r="BD54" s="6" t="s">
        <v>222</v>
      </c>
    </row>
    <row r="55" spans="55:56" x14ac:dyDescent="0.2">
      <c r="BC55" t="s">
        <v>662</v>
      </c>
      <c r="BD55" s="6" t="s">
        <v>180</v>
      </c>
    </row>
    <row r="56" spans="55:56" x14ac:dyDescent="0.2">
      <c r="BC56" t="s">
        <v>663</v>
      </c>
      <c r="BD56" s="6" t="s">
        <v>598</v>
      </c>
    </row>
    <row r="57" spans="55:56" x14ac:dyDescent="0.2">
      <c r="BC57" t="s">
        <v>664</v>
      </c>
      <c r="BD57" s="6" t="s">
        <v>192</v>
      </c>
    </row>
    <row r="58" spans="55:56" x14ac:dyDescent="0.2">
      <c r="BC58" t="s">
        <v>665</v>
      </c>
      <c r="BD58" s="6" t="s">
        <v>198</v>
      </c>
    </row>
    <row r="59" spans="55:56" x14ac:dyDescent="0.2">
      <c r="BC59" t="s">
        <v>666</v>
      </c>
      <c r="BD59" s="6" t="s">
        <v>203</v>
      </c>
    </row>
    <row r="60" spans="55:56" x14ac:dyDescent="0.2">
      <c r="BC60" t="s">
        <v>667</v>
      </c>
      <c r="BD60" s="6" t="s">
        <v>208</v>
      </c>
    </row>
    <row r="61" spans="55:56" x14ac:dyDescent="0.2">
      <c r="BC61" t="s">
        <v>668</v>
      </c>
      <c r="BD61" s="6" t="s">
        <v>211</v>
      </c>
    </row>
    <row r="62" spans="55:56" x14ac:dyDescent="0.2">
      <c r="BC62" t="s">
        <v>669</v>
      </c>
      <c r="BD62" s="6" t="s">
        <v>213</v>
      </c>
    </row>
  </sheetData>
  <phoneticPr fontId="5" type="noConversion"/>
  <pageMargins left="0.75" right="0.75" top="1" bottom="1" header="0" footer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O117"/>
  <sheetViews>
    <sheetView workbookViewId="0">
      <selection activeCell="B30" sqref="B30"/>
    </sheetView>
  </sheetViews>
  <sheetFormatPr defaultColWidth="9.140625" defaultRowHeight="12.75" x14ac:dyDescent="0.2"/>
  <sheetData>
    <row r="1" spans="1:67" x14ac:dyDescent="0.2">
      <c r="A1" s="15" t="s">
        <v>621</v>
      </c>
    </row>
    <row r="3" spans="1:67" s="5" customFormat="1" x14ac:dyDescent="0.2">
      <c r="A3" s="5" t="s">
        <v>594</v>
      </c>
      <c r="B3" s="6" t="s">
        <v>424</v>
      </c>
      <c r="C3" s="6" t="s">
        <v>595</v>
      </c>
      <c r="D3" s="6" t="s">
        <v>513</v>
      </c>
      <c r="E3" s="6" t="s">
        <v>426</v>
      </c>
      <c r="F3" s="6" t="s">
        <v>11</v>
      </c>
      <c r="G3" s="6" t="s">
        <v>15</v>
      </c>
      <c r="H3" s="6" t="s">
        <v>19</v>
      </c>
      <c r="I3" s="6" t="s">
        <v>23</v>
      </c>
      <c r="J3" s="6" t="s">
        <v>28</v>
      </c>
      <c r="K3" s="6" t="s">
        <v>35</v>
      </c>
      <c r="L3" s="6" t="s">
        <v>40</v>
      </c>
      <c r="M3" s="6" t="s">
        <v>44</v>
      </c>
      <c r="N3" s="6" t="s">
        <v>48</v>
      </c>
      <c r="O3" s="6" t="s">
        <v>54</v>
      </c>
      <c r="P3" s="6" t="s">
        <v>59</v>
      </c>
      <c r="Q3" s="6" t="s">
        <v>60</v>
      </c>
      <c r="R3" s="6" t="s">
        <v>63</v>
      </c>
      <c r="S3" s="6" t="s">
        <v>66</v>
      </c>
      <c r="T3" s="6" t="s">
        <v>70</v>
      </c>
      <c r="U3" s="6" t="s">
        <v>74</v>
      </c>
      <c r="V3" s="6" t="s">
        <v>77</v>
      </c>
      <c r="W3" s="6" t="s">
        <v>79</v>
      </c>
      <c r="X3" s="6" t="s">
        <v>84</v>
      </c>
      <c r="Y3" s="6" t="s">
        <v>596</v>
      </c>
      <c r="Z3" s="6" t="s">
        <v>95</v>
      </c>
      <c r="AA3" s="6" t="s">
        <v>97</v>
      </c>
      <c r="AB3" s="6" t="s">
        <v>100</v>
      </c>
      <c r="AC3" s="6" t="s">
        <v>106</v>
      </c>
      <c r="AD3" s="6" t="s">
        <v>597</v>
      </c>
      <c r="AE3" s="6" t="s">
        <v>117</v>
      </c>
      <c r="AF3" s="6" t="s">
        <v>121</v>
      </c>
      <c r="AG3" s="6" t="s">
        <v>124</v>
      </c>
      <c r="AH3" s="6" t="s">
        <v>220</v>
      </c>
      <c r="AI3" s="6" t="s">
        <v>131</v>
      </c>
      <c r="AJ3" s="6" t="s">
        <v>135</v>
      </c>
      <c r="AK3" s="6" t="s">
        <v>138</v>
      </c>
      <c r="AL3" s="6" t="s">
        <v>143</v>
      </c>
      <c r="AM3" s="6" t="s">
        <v>216</v>
      </c>
      <c r="AN3" s="6" t="s">
        <v>149</v>
      </c>
      <c r="AO3" s="6" t="s">
        <v>219</v>
      </c>
      <c r="AP3" s="6" t="s">
        <v>152</v>
      </c>
      <c r="AQ3" s="6" t="s">
        <v>156</v>
      </c>
      <c r="AR3" s="6" t="s">
        <v>158</v>
      </c>
      <c r="AS3" s="6" t="s">
        <v>162</v>
      </c>
      <c r="AT3" s="6" t="s">
        <v>167</v>
      </c>
      <c r="AU3" s="6" t="s">
        <v>169</v>
      </c>
      <c r="AV3" s="6" t="s">
        <v>174</v>
      </c>
      <c r="AW3" s="6" t="s">
        <v>222</v>
      </c>
      <c r="AX3" s="6" t="s">
        <v>180</v>
      </c>
      <c r="AY3" s="6" t="s">
        <v>598</v>
      </c>
      <c r="AZ3" s="6" t="s">
        <v>192</v>
      </c>
      <c r="BA3" s="6" t="s">
        <v>198</v>
      </c>
      <c r="BB3" s="6" t="s">
        <v>203</v>
      </c>
      <c r="BC3" s="6" t="s">
        <v>208</v>
      </c>
      <c r="BD3" s="6" t="s">
        <v>211</v>
      </c>
      <c r="BE3" s="6" t="s">
        <v>213</v>
      </c>
      <c r="BH3" s="7"/>
      <c r="BJ3" s="9"/>
      <c r="BK3" s="9"/>
      <c r="BL3" s="9"/>
      <c r="BN3" s="16"/>
      <c r="BO3" s="16"/>
    </row>
    <row r="4" spans="1:67" x14ac:dyDescent="0.2">
      <c r="D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2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</row>
    <row r="5" spans="1:67" x14ac:dyDescent="0.2">
      <c r="D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2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</row>
    <row r="6" spans="1:67" x14ac:dyDescent="0.2">
      <c r="D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2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</row>
    <row r="7" spans="1:67" x14ac:dyDescent="0.2">
      <c r="D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2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</row>
    <row r="8" spans="1:67" x14ac:dyDescent="0.2">
      <c r="D8" s="11"/>
      <c r="F8" s="11"/>
      <c r="G8" s="11"/>
      <c r="H8" s="11"/>
      <c r="I8" s="11"/>
      <c r="J8" s="11"/>
      <c r="K8" s="11"/>
      <c r="L8" s="11"/>
      <c r="M8" s="11"/>
      <c r="N8" s="11"/>
      <c r="O8" s="12"/>
      <c r="P8" s="11"/>
      <c r="Q8" s="11"/>
      <c r="R8" s="11"/>
      <c r="S8" s="11"/>
      <c r="T8" s="11"/>
      <c r="U8" s="12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</row>
    <row r="9" spans="1:67" x14ac:dyDescent="0.2">
      <c r="D9" s="11"/>
      <c r="F9" s="11"/>
      <c r="G9" s="11"/>
      <c r="H9" s="11"/>
      <c r="I9" s="11"/>
      <c r="J9" s="11"/>
      <c r="K9" s="11"/>
      <c r="L9" s="11"/>
      <c r="M9" s="11"/>
      <c r="N9" s="11"/>
      <c r="O9" s="12"/>
      <c r="P9" s="11"/>
      <c r="Q9" s="11"/>
      <c r="R9" s="11"/>
      <c r="S9" s="11"/>
      <c r="T9" s="11"/>
      <c r="U9" s="12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 x14ac:dyDescent="0.2">
      <c r="D10" s="11"/>
      <c r="F10" s="11"/>
      <c r="G10" s="11"/>
      <c r="H10" s="11"/>
      <c r="I10" s="11"/>
      <c r="J10" s="11"/>
      <c r="K10" s="11"/>
      <c r="L10" s="11"/>
      <c r="M10" s="11"/>
      <c r="N10" s="11"/>
      <c r="O10" s="12"/>
      <c r="P10" s="11"/>
      <c r="Q10" s="11"/>
      <c r="R10" s="11"/>
      <c r="S10" s="11"/>
      <c r="T10" s="11"/>
      <c r="U10" s="12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</row>
    <row r="11" spans="1:67" x14ac:dyDescent="0.2">
      <c r="D11" s="11"/>
      <c r="F11" s="11"/>
      <c r="G11" s="11"/>
      <c r="H11" s="11"/>
      <c r="I11" s="11"/>
      <c r="J11" s="11"/>
      <c r="K11" s="11"/>
      <c r="L11" s="11"/>
      <c r="M11" s="11"/>
      <c r="N11" s="11"/>
      <c r="O11" s="12"/>
      <c r="P11" s="11"/>
      <c r="Q11" s="11"/>
      <c r="R11" s="11"/>
      <c r="S11" s="11"/>
      <c r="T11" s="11"/>
      <c r="U11" s="12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</row>
    <row r="12" spans="1:67" x14ac:dyDescent="0.2">
      <c r="D12" s="11"/>
      <c r="F12" s="11"/>
      <c r="G12" s="11"/>
      <c r="H12" s="11"/>
      <c r="I12" s="11"/>
      <c r="J12" s="11"/>
      <c r="K12" s="11"/>
      <c r="L12" s="11"/>
      <c r="M12" s="11"/>
      <c r="N12" s="11"/>
      <c r="O12" s="12"/>
      <c r="P12" s="11"/>
      <c r="Q12" s="11"/>
      <c r="R12" s="11"/>
      <c r="S12" s="11"/>
      <c r="T12" s="11"/>
      <c r="U12" s="12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</row>
    <row r="13" spans="1:67" x14ac:dyDescent="0.2">
      <c r="D13" s="11"/>
      <c r="F13" s="11"/>
      <c r="G13" s="11"/>
      <c r="H13" s="11"/>
      <c r="I13" s="11"/>
      <c r="J13" s="11"/>
      <c r="K13" s="11"/>
      <c r="L13" s="11"/>
      <c r="M13" s="11"/>
      <c r="N13" s="11"/>
      <c r="O13" s="12"/>
      <c r="P13" s="11"/>
      <c r="Q13" s="11"/>
      <c r="R13" s="11"/>
      <c r="S13" s="11"/>
      <c r="T13" s="11"/>
      <c r="U13" s="12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</row>
    <row r="14" spans="1:67" x14ac:dyDescent="0.2">
      <c r="D14" s="11"/>
      <c r="F14" s="11"/>
      <c r="G14" s="11"/>
      <c r="H14" s="11"/>
      <c r="I14" s="11"/>
      <c r="J14" s="11"/>
      <c r="K14" s="11"/>
      <c r="L14" s="11"/>
      <c r="M14" s="11"/>
      <c r="N14" s="11"/>
      <c r="O14" s="12"/>
      <c r="P14" s="11"/>
      <c r="Q14" s="11"/>
      <c r="R14" s="11"/>
      <c r="S14" s="11"/>
      <c r="T14" s="11"/>
      <c r="U14" s="12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</row>
    <row r="15" spans="1:67" x14ac:dyDescent="0.2">
      <c r="D15" s="11"/>
      <c r="F15" s="11"/>
      <c r="G15" s="11"/>
      <c r="H15" s="11"/>
      <c r="I15" s="11"/>
      <c r="J15" s="11"/>
      <c r="K15" s="11"/>
      <c r="L15" s="11"/>
      <c r="M15" s="11"/>
      <c r="N15" s="11"/>
      <c r="O15" s="12"/>
      <c r="P15" s="11"/>
      <c r="Q15" s="11"/>
      <c r="R15" s="11"/>
      <c r="S15" s="11"/>
      <c r="T15" s="11"/>
      <c r="U15" s="12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 x14ac:dyDescent="0.2">
      <c r="D16" s="11"/>
      <c r="F16" s="11"/>
      <c r="G16" s="11"/>
      <c r="H16" s="11"/>
      <c r="I16" s="11"/>
      <c r="J16" s="11"/>
      <c r="K16" s="11"/>
      <c r="L16" s="11"/>
      <c r="M16" s="11"/>
      <c r="N16" s="11"/>
      <c r="O16" s="12"/>
      <c r="P16" s="11"/>
      <c r="Q16" s="11"/>
      <c r="R16" s="11"/>
      <c r="S16" s="11"/>
      <c r="T16" s="11"/>
      <c r="U16" s="12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</row>
    <row r="17" spans="4:57" x14ac:dyDescent="0.2">
      <c r="D17" s="11"/>
      <c r="F17" s="11"/>
      <c r="G17" s="11"/>
      <c r="H17" s="11"/>
      <c r="I17" s="11"/>
      <c r="J17" s="11"/>
      <c r="K17" s="11"/>
      <c r="L17" s="11"/>
      <c r="M17" s="11"/>
      <c r="N17" s="11"/>
      <c r="O17" s="12"/>
      <c r="P17" s="11"/>
      <c r="Q17" s="11"/>
      <c r="R17" s="11"/>
      <c r="S17" s="11"/>
      <c r="T17" s="11"/>
      <c r="U17" s="12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4:57" x14ac:dyDescent="0.2">
      <c r="D18" s="11"/>
      <c r="F18" s="11"/>
      <c r="G18" s="11"/>
      <c r="H18" s="11"/>
      <c r="I18" s="11"/>
      <c r="J18" s="11"/>
      <c r="K18" s="11"/>
      <c r="L18" s="11"/>
      <c r="M18" s="11"/>
      <c r="N18" s="11"/>
      <c r="O18" s="12"/>
      <c r="P18" s="11"/>
      <c r="Q18" s="11"/>
      <c r="R18" s="11"/>
      <c r="S18" s="11"/>
      <c r="T18" s="11"/>
      <c r="U18" s="12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4:57" x14ac:dyDescent="0.2">
      <c r="D19" s="11"/>
      <c r="F19" s="11"/>
      <c r="G19" s="11"/>
      <c r="H19" s="11"/>
      <c r="I19" s="11"/>
      <c r="J19" s="11"/>
      <c r="K19" s="11"/>
      <c r="L19" s="11"/>
      <c r="M19" s="11"/>
      <c r="N19" s="11"/>
      <c r="O19" s="12"/>
      <c r="P19" s="11"/>
      <c r="Q19" s="11"/>
      <c r="R19" s="11"/>
      <c r="S19" s="11"/>
      <c r="T19" s="11"/>
      <c r="U19" s="12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4:57" x14ac:dyDescent="0.2">
      <c r="D20" s="11"/>
      <c r="F20" s="11"/>
      <c r="G20" s="11"/>
      <c r="H20" s="11"/>
      <c r="I20" s="11"/>
      <c r="J20" s="11"/>
      <c r="K20" s="11"/>
      <c r="L20" s="11"/>
      <c r="M20" s="11"/>
      <c r="N20" s="11"/>
      <c r="O20" s="12"/>
      <c r="P20" s="11"/>
      <c r="Q20" s="11"/>
      <c r="R20" s="11"/>
      <c r="S20" s="11"/>
      <c r="T20" s="11"/>
      <c r="U20" s="12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</row>
    <row r="21" spans="4:57" x14ac:dyDescent="0.2">
      <c r="D21" s="11"/>
      <c r="F21" s="11"/>
      <c r="G21" s="11"/>
      <c r="H21" s="11"/>
      <c r="I21" s="11"/>
      <c r="J21" s="11"/>
      <c r="K21" s="11"/>
      <c r="L21" s="11"/>
      <c r="M21" s="11"/>
      <c r="N21" s="11"/>
      <c r="O21" s="12"/>
      <c r="P21" s="11"/>
      <c r="Q21" s="11"/>
      <c r="R21" s="11"/>
      <c r="S21" s="11"/>
      <c r="T21" s="11"/>
      <c r="U21" s="12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</row>
    <row r="22" spans="4:57" x14ac:dyDescent="0.2">
      <c r="D22" s="11"/>
      <c r="F22" s="11"/>
      <c r="G22" s="11"/>
      <c r="H22" s="11"/>
      <c r="I22" s="11"/>
      <c r="J22" s="11"/>
      <c r="K22" s="11"/>
      <c r="L22" s="11"/>
      <c r="M22" s="11"/>
      <c r="N22" s="11"/>
      <c r="O22" s="12"/>
      <c r="P22" s="11"/>
      <c r="Q22" s="11"/>
      <c r="R22" s="11"/>
      <c r="S22" s="11"/>
      <c r="T22" s="11"/>
      <c r="U22" s="12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</row>
    <row r="23" spans="4:57" x14ac:dyDescent="0.2">
      <c r="D23" s="11"/>
      <c r="F23" s="11"/>
      <c r="G23" s="11"/>
      <c r="H23" s="11"/>
      <c r="I23" s="11"/>
      <c r="J23" s="11"/>
      <c r="K23" s="11"/>
      <c r="L23" s="11"/>
      <c r="M23" s="11"/>
      <c r="N23" s="11"/>
      <c r="O23" s="12"/>
      <c r="P23" s="11"/>
      <c r="Q23" s="11"/>
      <c r="R23" s="11"/>
      <c r="S23" s="11"/>
      <c r="T23" s="11"/>
      <c r="U23" s="12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</row>
    <row r="24" spans="4:57" x14ac:dyDescent="0.2">
      <c r="D24" s="11"/>
      <c r="F24" s="11"/>
      <c r="G24" s="11"/>
      <c r="H24" s="11"/>
      <c r="I24" s="11"/>
      <c r="J24" s="11"/>
      <c r="K24" s="11"/>
      <c r="L24" s="11"/>
      <c r="M24" s="11"/>
      <c r="N24" s="11"/>
      <c r="O24" s="12"/>
      <c r="P24" s="11"/>
      <c r="Q24" s="11"/>
      <c r="R24" s="11"/>
      <c r="S24" s="11"/>
      <c r="T24" s="11"/>
      <c r="U24" s="1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4:57" x14ac:dyDescent="0.2">
      <c r="D25" s="11"/>
      <c r="F25" s="11"/>
      <c r="G25" s="11"/>
      <c r="H25" s="11"/>
      <c r="I25" s="11"/>
      <c r="J25" s="11"/>
      <c r="K25" s="11"/>
      <c r="L25" s="11"/>
      <c r="M25" s="11"/>
      <c r="N25" s="11"/>
      <c r="O25" s="12"/>
      <c r="P25" s="11"/>
      <c r="Q25" s="11"/>
      <c r="R25" s="11"/>
      <c r="S25" s="11"/>
      <c r="T25" s="11"/>
      <c r="U25" s="12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</row>
    <row r="26" spans="4:57" x14ac:dyDescent="0.2">
      <c r="D26" s="11"/>
      <c r="F26" s="11"/>
      <c r="G26" s="11"/>
      <c r="H26" s="11"/>
      <c r="I26" s="11"/>
      <c r="J26" s="11"/>
      <c r="K26" s="11"/>
      <c r="L26" s="11"/>
      <c r="M26" s="11"/>
      <c r="N26" s="11"/>
      <c r="O26" s="12"/>
      <c r="P26" s="11"/>
      <c r="Q26" s="11"/>
      <c r="R26" s="11"/>
      <c r="S26" s="11"/>
      <c r="T26" s="11"/>
      <c r="U26" s="12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</row>
    <row r="27" spans="4:57" x14ac:dyDescent="0.2">
      <c r="D27" s="11"/>
      <c r="F27" s="11"/>
      <c r="G27" s="11"/>
      <c r="H27" s="11"/>
      <c r="I27" s="11"/>
      <c r="J27" s="11"/>
      <c r="K27" s="11"/>
      <c r="L27" s="11"/>
      <c r="M27" s="11"/>
      <c r="N27" s="11"/>
      <c r="O27" s="12"/>
      <c r="P27" s="11"/>
      <c r="Q27" s="11"/>
      <c r="R27" s="11"/>
      <c r="S27" s="11"/>
      <c r="T27" s="11"/>
      <c r="U27" s="12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</row>
    <row r="28" spans="4:57" x14ac:dyDescent="0.2">
      <c r="D28" s="11"/>
      <c r="F28" s="11"/>
      <c r="G28" s="11"/>
      <c r="H28" s="11"/>
      <c r="I28" s="11"/>
      <c r="J28" s="11"/>
      <c r="K28" s="11"/>
      <c r="L28" s="11"/>
      <c r="M28" s="11"/>
      <c r="N28" s="11"/>
      <c r="O28" s="12"/>
      <c r="P28" s="11"/>
      <c r="Q28" s="11"/>
      <c r="R28" s="11"/>
      <c r="S28" s="11"/>
      <c r="T28" s="11"/>
      <c r="U28" s="12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</row>
    <row r="29" spans="4:57" x14ac:dyDescent="0.2">
      <c r="D29" s="11"/>
      <c r="F29" s="11"/>
      <c r="G29" s="11"/>
      <c r="H29" s="11"/>
      <c r="I29" s="11"/>
      <c r="J29" s="11"/>
      <c r="K29" s="11"/>
      <c r="L29" s="11"/>
      <c r="M29" s="11"/>
      <c r="N29" s="11"/>
      <c r="O29" s="12"/>
      <c r="P29" s="11"/>
      <c r="Q29" s="11"/>
      <c r="R29" s="11"/>
      <c r="S29" s="11"/>
      <c r="T29" s="11"/>
      <c r="U29" s="12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</row>
    <row r="30" spans="4:57" x14ac:dyDescent="0.2">
      <c r="D30" s="11"/>
      <c r="F30" s="11"/>
      <c r="G30" s="11"/>
      <c r="H30" s="11"/>
      <c r="I30" s="11"/>
      <c r="J30" s="11"/>
      <c r="K30" s="11"/>
      <c r="L30" s="11"/>
      <c r="M30" s="11"/>
      <c r="N30" s="11"/>
      <c r="O30" s="12"/>
      <c r="P30" s="11"/>
      <c r="Q30" s="11"/>
      <c r="R30" s="11"/>
      <c r="S30" s="11"/>
      <c r="T30" s="11"/>
      <c r="U30" s="12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4:57" x14ac:dyDescent="0.2">
      <c r="D31" s="11"/>
      <c r="F31" s="11"/>
      <c r="G31" s="11"/>
      <c r="H31" s="11"/>
      <c r="I31" s="11"/>
      <c r="J31" s="11"/>
      <c r="K31" s="11"/>
      <c r="L31" s="11"/>
      <c r="M31" s="11"/>
      <c r="N31" s="11"/>
      <c r="O31" s="12"/>
      <c r="P31" s="11"/>
      <c r="Q31" s="11"/>
      <c r="R31" s="11"/>
      <c r="S31" s="11"/>
      <c r="T31" s="11"/>
      <c r="U31" s="12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4:57" x14ac:dyDescent="0.2">
      <c r="D32" s="11"/>
      <c r="F32" s="11"/>
      <c r="G32" s="11"/>
      <c r="H32" s="11"/>
      <c r="I32" s="11"/>
      <c r="J32" s="11"/>
      <c r="K32" s="11"/>
      <c r="L32" s="11"/>
      <c r="M32" s="11"/>
      <c r="N32" s="11"/>
      <c r="O32" s="12"/>
      <c r="P32" s="11"/>
      <c r="Q32" s="11"/>
      <c r="R32" s="11"/>
      <c r="S32" s="11"/>
      <c r="T32" s="11"/>
      <c r="U32" s="12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4:57" x14ac:dyDescent="0.2">
      <c r="D33" s="11"/>
      <c r="F33" s="11"/>
      <c r="G33" s="11"/>
      <c r="H33" s="11"/>
      <c r="I33" s="11"/>
      <c r="J33" s="11"/>
      <c r="K33" s="11"/>
      <c r="L33" s="11"/>
      <c r="M33" s="11"/>
      <c r="N33" s="11"/>
      <c r="O33" s="12"/>
      <c r="P33" s="11"/>
      <c r="Q33" s="11"/>
      <c r="R33" s="11"/>
      <c r="S33" s="11"/>
      <c r="T33" s="11"/>
      <c r="U33" s="12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</row>
    <row r="34" spans="4:57" x14ac:dyDescent="0.2">
      <c r="D34" s="11"/>
      <c r="F34" s="11"/>
      <c r="G34" s="11"/>
      <c r="H34" s="11"/>
      <c r="I34" s="11"/>
      <c r="J34" s="11"/>
      <c r="K34" s="11"/>
      <c r="L34" s="11"/>
      <c r="M34" s="11"/>
      <c r="N34" s="11"/>
      <c r="O34" s="12"/>
      <c r="P34" s="11"/>
      <c r="Q34" s="11"/>
      <c r="R34" s="11"/>
      <c r="S34" s="11"/>
      <c r="T34" s="11"/>
      <c r="U34" s="12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</row>
    <row r="35" spans="4:57" x14ac:dyDescent="0.2">
      <c r="D35" s="11"/>
      <c r="F35" s="11"/>
      <c r="G35" s="11"/>
      <c r="H35" s="11"/>
      <c r="I35" s="11"/>
      <c r="J35" s="11"/>
      <c r="K35" s="11"/>
      <c r="L35" s="11"/>
      <c r="M35" s="11"/>
      <c r="N35" s="11"/>
      <c r="O35" s="12"/>
      <c r="P35" s="11"/>
      <c r="Q35" s="11"/>
      <c r="R35" s="11"/>
      <c r="S35" s="11"/>
      <c r="T35" s="11"/>
      <c r="U35" s="12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</row>
    <row r="36" spans="4:57" x14ac:dyDescent="0.2">
      <c r="D36" s="11"/>
      <c r="F36" s="11"/>
      <c r="G36" s="11"/>
      <c r="H36" s="11"/>
      <c r="I36" s="11"/>
      <c r="J36" s="11"/>
      <c r="K36" s="11"/>
      <c r="L36" s="11"/>
      <c r="M36" s="11"/>
      <c r="N36" s="11"/>
      <c r="O36" s="12"/>
      <c r="P36" s="11"/>
      <c r="Q36" s="11"/>
      <c r="R36" s="11"/>
      <c r="S36" s="11"/>
      <c r="T36" s="11"/>
      <c r="U36" s="12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</row>
    <row r="37" spans="4:57" x14ac:dyDescent="0.2">
      <c r="D37" s="11"/>
      <c r="F37" s="11"/>
      <c r="G37" s="11"/>
      <c r="H37" s="11"/>
      <c r="I37" s="11"/>
      <c r="J37" s="11"/>
      <c r="K37" s="11"/>
      <c r="L37" s="11"/>
      <c r="M37" s="11"/>
      <c r="N37" s="11"/>
      <c r="O37" s="12"/>
      <c r="P37" s="11"/>
      <c r="Q37" s="11"/>
      <c r="R37" s="11"/>
      <c r="S37" s="11"/>
      <c r="T37" s="11"/>
      <c r="U37" s="12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</row>
    <row r="38" spans="4:57" x14ac:dyDescent="0.2">
      <c r="D38" s="11"/>
      <c r="F38" s="11"/>
      <c r="G38" s="11"/>
      <c r="H38" s="11"/>
      <c r="I38" s="11"/>
      <c r="J38" s="11"/>
      <c r="K38" s="11"/>
      <c r="L38" s="11"/>
      <c r="M38" s="11"/>
      <c r="N38" s="11"/>
      <c r="O38" s="12"/>
      <c r="P38" s="11"/>
      <c r="Q38" s="11"/>
      <c r="R38" s="11"/>
      <c r="S38" s="11"/>
      <c r="T38" s="11"/>
      <c r="U38" s="12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</row>
    <row r="39" spans="4:57" x14ac:dyDescent="0.2">
      <c r="D39" s="11"/>
      <c r="F39" s="11"/>
      <c r="G39" s="11"/>
      <c r="H39" s="11"/>
      <c r="I39" s="11"/>
      <c r="J39" s="11"/>
      <c r="K39" s="11"/>
      <c r="L39" s="11"/>
      <c r="M39" s="11"/>
      <c r="N39" s="11"/>
      <c r="O39" s="12"/>
      <c r="P39" s="11"/>
      <c r="Q39" s="11"/>
      <c r="R39" s="11"/>
      <c r="S39" s="11"/>
      <c r="T39" s="11"/>
      <c r="U39" s="12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</row>
    <row r="40" spans="4:57" x14ac:dyDescent="0.2">
      <c r="D40" s="11"/>
      <c r="F40" s="11"/>
      <c r="G40" s="11"/>
      <c r="H40" s="11"/>
      <c r="I40" s="11"/>
      <c r="J40" s="11"/>
      <c r="K40" s="11"/>
      <c r="L40" s="11"/>
      <c r="M40" s="11"/>
      <c r="N40" s="11"/>
      <c r="O40" s="12"/>
      <c r="P40" s="11"/>
      <c r="Q40" s="11"/>
      <c r="R40" s="11"/>
      <c r="S40" s="11"/>
      <c r="T40" s="11"/>
      <c r="U40" s="12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</row>
    <row r="41" spans="4:57" x14ac:dyDescent="0.2">
      <c r="D41" s="11"/>
      <c r="F41" s="11"/>
      <c r="G41" s="11"/>
      <c r="H41" s="11"/>
      <c r="I41" s="11"/>
      <c r="J41" s="11"/>
      <c r="K41" s="11"/>
      <c r="L41" s="11"/>
      <c r="M41" s="11"/>
      <c r="N41" s="11"/>
      <c r="O41" s="12"/>
      <c r="P41" s="11"/>
      <c r="Q41" s="11"/>
      <c r="R41" s="11"/>
      <c r="S41" s="11"/>
      <c r="T41" s="11"/>
      <c r="U41" s="12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4:57" x14ac:dyDescent="0.2">
      <c r="D42" s="11"/>
      <c r="F42" s="11"/>
      <c r="G42" s="11"/>
      <c r="H42" s="11"/>
      <c r="I42" s="11"/>
      <c r="J42" s="11"/>
      <c r="K42" s="11"/>
      <c r="L42" s="11"/>
      <c r="M42" s="11"/>
      <c r="N42" s="11"/>
      <c r="O42" s="12"/>
      <c r="P42" s="11"/>
      <c r="Q42" s="11"/>
      <c r="R42" s="11"/>
      <c r="S42" s="11"/>
      <c r="T42" s="11"/>
      <c r="U42" s="12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4:57" x14ac:dyDescent="0.2">
      <c r="D43" s="11"/>
      <c r="F43" s="11"/>
      <c r="G43" s="11"/>
      <c r="H43" s="11"/>
      <c r="I43" s="11"/>
      <c r="J43" s="11"/>
      <c r="K43" s="11"/>
      <c r="L43" s="11"/>
      <c r="M43" s="11"/>
      <c r="N43" s="11"/>
      <c r="O43" s="12"/>
      <c r="P43" s="11"/>
      <c r="Q43" s="11"/>
      <c r="R43" s="11"/>
      <c r="S43" s="11"/>
      <c r="T43" s="11"/>
      <c r="U43" s="12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4:57" x14ac:dyDescent="0.2">
      <c r="D44" s="11"/>
      <c r="F44" s="11"/>
      <c r="G44" s="11"/>
      <c r="H44" s="11"/>
      <c r="I44" s="11"/>
      <c r="J44" s="11"/>
      <c r="K44" s="11"/>
      <c r="L44" s="11"/>
      <c r="M44" s="11"/>
      <c r="N44" s="11"/>
      <c r="O44" s="12"/>
      <c r="P44" s="11"/>
      <c r="Q44" s="11"/>
      <c r="R44" s="11"/>
      <c r="S44" s="11"/>
      <c r="T44" s="11"/>
      <c r="U44" s="12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</row>
    <row r="45" spans="4:57" x14ac:dyDescent="0.2">
      <c r="D45" s="11"/>
      <c r="F45" s="11"/>
      <c r="G45" s="11"/>
      <c r="H45" s="11"/>
      <c r="I45" s="11"/>
      <c r="J45" s="11"/>
      <c r="K45" s="11"/>
      <c r="L45" s="11"/>
      <c r="M45" s="11"/>
      <c r="N45" s="11"/>
      <c r="O45" s="12"/>
      <c r="P45" s="11"/>
      <c r="Q45" s="11"/>
      <c r="R45" s="11"/>
      <c r="S45" s="11"/>
      <c r="T45" s="11"/>
      <c r="U45" s="12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4:57" x14ac:dyDescent="0.2">
      <c r="D46" s="11"/>
      <c r="F46" s="11"/>
      <c r="G46" s="11"/>
      <c r="H46" s="11"/>
      <c r="I46" s="11"/>
      <c r="J46" s="11"/>
      <c r="K46" s="11"/>
      <c r="L46" s="11"/>
      <c r="M46" s="11"/>
      <c r="N46" s="11"/>
      <c r="O46" s="12"/>
      <c r="P46" s="11"/>
      <c r="Q46" s="11"/>
      <c r="R46" s="11"/>
      <c r="S46" s="11"/>
      <c r="T46" s="11"/>
      <c r="U46" s="12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4:57" x14ac:dyDescent="0.2">
      <c r="D47" s="11"/>
      <c r="F47" s="11"/>
      <c r="G47" s="11"/>
      <c r="H47" s="11"/>
      <c r="I47" s="11"/>
      <c r="J47" s="11"/>
      <c r="K47" s="11"/>
      <c r="L47" s="11"/>
      <c r="M47" s="11"/>
      <c r="N47" s="11"/>
      <c r="O47" s="12"/>
      <c r="P47" s="11"/>
      <c r="Q47" s="11"/>
      <c r="R47" s="11"/>
      <c r="S47" s="11"/>
      <c r="T47" s="11"/>
      <c r="U47" s="12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4:57" x14ac:dyDescent="0.2">
      <c r="D48" s="11"/>
      <c r="F48" s="11"/>
      <c r="G48" s="11"/>
      <c r="H48" s="11"/>
      <c r="I48" s="11"/>
      <c r="J48" s="11"/>
      <c r="K48" s="11"/>
      <c r="L48" s="11"/>
      <c r="M48" s="11"/>
      <c r="N48" s="11"/>
      <c r="O48" s="12"/>
      <c r="P48" s="11"/>
      <c r="Q48" s="11"/>
      <c r="R48" s="11"/>
      <c r="S48" s="11"/>
      <c r="T48" s="11"/>
      <c r="U48" s="12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4:57" x14ac:dyDescent="0.2">
      <c r="D49" s="11"/>
      <c r="F49" s="11"/>
      <c r="G49" s="11"/>
      <c r="H49" s="11"/>
      <c r="I49" s="11"/>
      <c r="J49" s="11"/>
      <c r="K49" s="11"/>
      <c r="L49" s="11"/>
      <c r="M49" s="11"/>
      <c r="N49" s="11"/>
      <c r="O49" s="12"/>
      <c r="P49" s="11"/>
      <c r="Q49" s="11"/>
      <c r="R49" s="11"/>
      <c r="S49" s="11"/>
      <c r="T49" s="11"/>
      <c r="U49" s="12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4:57" x14ac:dyDescent="0.2">
      <c r="D50" s="11"/>
      <c r="F50" s="11"/>
      <c r="G50" s="11"/>
      <c r="H50" s="11"/>
      <c r="I50" s="11"/>
      <c r="J50" s="11"/>
      <c r="K50" s="11"/>
      <c r="L50" s="11"/>
      <c r="M50" s="11"/>
      <c r="N50" s="11"/>
      <c r="O50" s="12"/>
      <c r="P50" s="11"/>
      <c r="Q50" s="11"/>
      <c r="R50" s="11"/>
      <c r="S50" s="11"/>
      <c r="T50" s="11"/>
      <c r="U50" s="12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</row>
    <row r="51" spans="4:57" x14ac:dyDescent="0.2">
      <c r="D51" s="11"/>
      <c r="F51" s="11"/>
      <c r="G51" s="11"/>
      <c r="H51" s="11"/>
      <c r="I51" s="11"/>
      <c r="J51" s="11"/>
      <c r="K51" s="11"/>
      <c r="L51" s="11"/>
      <c r="M51" s="11"/>
      <c r="N51" s="11"/>
      <c r="O51" s="12"/>
      <c r="P51" s="11"/>
      <c r="Q51" s="11"/>
      <c r="R51" s="11"/>
      <c r="S51" s="11"/>
      <c r="T51" s="11"/>
      <c r="U51" s="12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</row>
    <row r="52" spans="4:57" x14ac:dyDescent="0.2">
      <c r="D52" s="11"/>
      <c r="F52" s="11"/>
      <c r="G52" s="11"/>
      <c r="H52" s="11"/>
      <c r="I52" s="11"/>
      <c r="J52" s="11"/>
      <c r="K52" s="11"/>
      <c r="L52" s="11"/>
      <c r="M52" s="11"/>
      <c r="N52" s="11"/>
      <c r="O52" s="12"/>
      <c r="P52" s="11"/>
      <c r="Q52" s="11"/>
      <c r="R52" s="11"/>
      <c r="S52" s="11"/>
      <c r="T52" s="11"/>
      <c r="U52" s="12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</row>
    <row r="53" spans="4:57" x14ac:dyDescent="0.2">
      <c r="D53" s="11"/>
      <c r="F53" s="11"/>
      <c r="G53" s="11"/>
      <c r="H53" s="11"/>
      <c r="I53" s="11"/>
      <c r="J53" s="11"/>
      <c r="K53" s="11"/>
      <c r="L53" s="11"/>
      <c r="M53" s="11"/>
      <c r="N53" s="11"/>
      <c r="O53" s="12"/>
      <c r="P53" s="11"/>
      <c r="Q53" s="11"/>
      <c r="R53" s="11"/>
      <c r="S53" s="11"/>
      <c r="T53" s="11"/>
      <c r="U53" s="12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</row>
    <row r="54" spans="4:57" x14ac:dyDescent="0.2">
      <c r="D54" s="11"/>
      <c r="F54" s="11"/>
      <c r="G54" s="11"/>
      <c r="H54" s="11"/>
      <c r="I54" s="11"/>
      <c r="J54" s="11"/>
      <c r="K54" s="11"/>
      <c r="L54" s="11"/>
      <c r="M54" s="11"/>
      <c r="N54" s="11"/>
      <c r="O54" s="12"/>
      <c r="P54" s="11"/>
      <c r="Q54" s="11"/>
      <c r="R54" s="11"/>
      <c r="S54" s="11"/>
      <c r="T54" s="11"/>
      <c r="U54" s="12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</row>
    <row r="55" spans="4:57" x14ac:dyDescent="0.2">
      <c r="D55" s="11"/>
      <c r="F55" s="11"/>
      <c r="G55" s="11"/>
      <c r="H55" s="11"/>
      <c r="I55" s="11"/>
      <c r="J55" s="11"/>
      <c r="K55" s="11"/>
      <c r="L55" s="11"/>
      <c r="M55" s="11"/>
      <c r="N55" s="11"/>
      <c r="O55" s="12"/>
      <c r="P55" s="11"/>
      <c r="Q55" s="11"/>
      <c r="R55" s="11"/>
      <c r="S55" s="11"/>
      <c r="T55" s="11"/>
      <c r="U55" s="12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</row>
    <row r="56" spans="4:57" x14ac:dyDescent="0.2">
      <c r="D56" s="11"/>
      <c r="F56" s="11"/>
      <c r="G56" s="11"/>
      <c r="H56" s="11"/>
      <c r="I56" s="11"/>
      <c r="J56" s="11"/>
      <c r="K56" s="11"/>
      <c r="L56" s="11"/>
      <c r="M56" s="11"/>
      <c r="N56" s="11"/>
      <c r="O56" s="12"/>
      <c r="P56" s="11"/>
      <c r="Q56" s="11"/>
      <c r="R56" s="11"/>
      <c r="S56" s="11"/>
      <c r="T56" s="11"/>
      <c r="U56" s="12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</row>
    <row r="57" spans="4:57" x14ac:dyDescent="0.2">
      <c r="D57" s="11"/>
      <c r="F57" s="11"/>
      <c r="G57" s="11"/>
      <c r="H57" s="11"/>
      <c r="I57" s="11"/>
      <c r="J57" s="11"/>
      <c r="K57" s="11"/>
      <c r="L57" s="11"/>
      <c r="M57" s="11"/>
      <c r="N57" s="11"/>
      <c r="O57" s="12"/>
      <c r="P57" s="11"/>
      <c r="Q57" s="11"/>
      <c r="R57" s="11"/>
      <c r="S57" s="11"/>
      <c r="T57" s="11"/>
      <c r="U57" s="12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</row>
    <row r="58" spans="4:57" x14ac:dyDescent="0.2">
      <c r="D58" s="11"/>
      <c r="F58" s="11"/>
      <c r="G58" s="11"/>
      <c r="H58" s="11"/>
      <c r="I58" s="11"/>
      <c r="J58" s="11"/>
      <c r="K58" s="11"/>
      <c r="L58" s="11"/>
      <c r="M58" s="11"/>
      <c r="N58" s="11"/>
      <c r="O58" s="12"/>
      <c r="P58" s="11"/>
      <c r="Q58" s="11"/>
      <c r="R58" s="11"/>
      <c r="S58" s="11"/>
      <c r="T58" s="11"/>
      <c r="U58" s="12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</row>
    <row r="59" spans="4:57" x14ac:dyDescent="0.2">
      <c r="D59" s="11"/>
      <c r="F59" s="11"/>
      <c r="G59" s="11"/>
      <c r="H59" s="11"/>
      <c r="I59" s="11"/>
      <c r="J59" s="11"/>
      <c r="K59" s="11"/>
      <c r="L59" s="11"/>
      <c r="M59" s="11"/>
      <c r="N59" s="11"/>
      <c r="O59" s="12"/>
      <c r="P59" s="11"/>
      <c r="Q59" s="11"/>
      <c r="R59" s="11"/>
      <c r="S59" s="11"/>
      <c r="T59" s="11"/>
      <c r="U59" s="12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</row>
    <row r="60" spans="4:57" x14ac:dyDescent="0.2">
      <c r="D60" s="11"/>
      <c r="F60" s="11"/>
      <c r="G60" s="11"/>
      <c r="H60" s="11"/>
      <c r="I60" s="11"/>
      <c r="J60" s="11"/>
      <c r="K60" s="11"/>
      <c r="L60" s="11"/>
      <c r="M60" s="11"/>
      <c r="N60" s="11"/>
      <c r="O60" s="12"/>
      <c r="P60" s="11"/>
      <c r="Q60" s="11"/>
      <c r="R60" s="11"/>
      <c r="S60" s="11"/>
      <c r="T60" s="11"/>
      <c r="U60" s="12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</row>
    <row r="61" spans="4:57" x14ac:dyDescent="0.2">
      <c r="D61" s="11"/>
      <c r="F61" s="11"/>
      <c r="G61" s="11"/>
      <c r="H61" s="11"/>
      <c r="I61" s="11"/>
      <c r="J61" s="11"/>
      <c r="K61" s="11"/>
      <c r="L61" s="11"/>
      <c r="M61" s="11"/>
      <c r="N61" s="11"/>
      <c r="O61" s="12"/>
      <c r="P61" s="11"/>
      <c r="Q61" s="11"/>
      <c r="R61" s="11"/>
      <c r="S61" s="11"/>
      <c r="T61" s="11"/>
      <c r="U61" s="12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</row>
    <row r="62" spans="4:57" x14ac:dyDescent="0.2">
      <c r="D62" s="11"/>
      <c r="F62" s="11"/>
      <c r="G62" s="11"/>
      <c r="H62" s="11"/>
      <c r="I62" s="11"/>
      <c r="J62" s="11"/>
      <c r="K62" s="11"/>
      <c r="L62" s="11"/>
      <c r="M62" s="11"/>
      <c r="N62" s="11"/>
      <c r="O62" s="12"/>
      <c r="P62" s="11"/>
      <c r="Q62" s="11"/>
      <c r="R62" s="11"/>
      <c r="S62" s="11"/>
      <c r="T62" s="11"/>
      <c r="U62" s="12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</row>
    <row r="63" spans="4:57" x14ac:dyDescent="0.2">
      <c r="D63" s="11"/>
      <c r="F63" s="11"/>
      <c r="G63" s="11"/>
      <c r="H63" s="11"/>
      <c r="I63" s="11"/>
      <c r="J63" s="11"/>
      <c r="K63" s="11"/>
      <c r="L63" s="11"/>
      <c r="M63" s="11"/>
      <c r="N63" s="11"/>
      <c r="O63" s="12"/>
      <c r="P63" s="11"/>
      <c r="Q63" s="11"/>
      <c r="R63" s="11"/>
      <c r="S63" s="11"/>
      <c r="T63" s="11"/>
      <c r="U63" s="12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</row>
    <row r="64" spans="4:57" x14ac:dyDescent="0.2">
      <c r="D64" s="11"/>
      <c r="F64" s="11"/>
      <c r="G64" s="11"/>
      <c r="H64" s="11"/>
      <c r="I64" s="11"/>
      <c r="J64" s="11"/>
      <c r="K64" s="11"/>
      <c r="L64" s="11"/>
      <c r="M64" s="11"/>
      <c r="N64" s="11"/>
      <c r="O64" s="12"/>
      <c r="P64" s="11"/>
      <c r="Q64" s="11"/>
      <c r="R64" s="11"/>
      <c r="S64" s="11"/>
      <c r="T64" s="11"/>
      <c r="U64" s="12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</row>
    <row r="65" spans="4:57" x14ac:dyDescent="0.2">
      <c r="D65" s="11"/>
      <c r="F65" s="11"/>
      <c r="G65" s="11"/>
      <c r="H65" s="11"/>
      <c r="I65" s="11"/>
      <c r="J65" s="11"/>
      <c r="K65" s="11"/>
      <c r="L65" s="11"/>
      <c r="M65" s="11"/>
      <c r="N65" s="11"/>
      <c r="O65" s="12"/>
      <c r="P65" s="11"/>
      <c r="Q65" s="11"/>
      <c r="R65" s="11"/>
      <c r="S65" s="11"/>
      <c r="T65" s="11"/>
      <c r="U65" s="12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</row>
    <row r="66" spans="4:57" x14ac:dyDescent="0.2">
      <c r="D66" s="11"/>
      <c r="F66" s="11"/>
      <c r="G66" s="11"/>
      <c r="H66" s="11"/>
      <c r="I66" s="11"/>
      <c r="J66" s="11"/>
      <c r="K66" s="11"/>
      <c r="L66" s="11"/>
      <c r="M66" s="11"/>
      <c r="N66" s="11"/>
      <c r="O66" s="12"/>
      <c r="P66" s="11"/>
      <c r="Q66" s="11"/>
      <c r="R66" s="11"/>
      <c r="S66" s="11"/>
      <c r="T66" s="11"/>
      <c r="U66" s="12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</row>
    <row r="67" spans="4:57" x14ac:dyDescent="0.2">
      <c r="D67" s="11"/>
      <c r="F67" s="11"/>
      <c r="G67" s="11"/>
      <c r="H67" s="11"/>
      <c r="I67" s="11"/>
      <c r="J67" s="11"/>
      <c r="K67" s="11"/>
      <c r="L67" s="11"/>
      <c r="M67" s="11"/>
      <c r="N67" s="11"/>
      <c r="O67" s="12"/>
      <c r="P67" s="11"/>
      <c r="Q67" s="11"/>
      <c r="R67" s="11"/>
      <c r="S67" s="11"/>
      <c r="T67" s="11"/>
      <c r="U67" s="12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</row>
    <row r="68" spans="4:57" x14ac:dyDescent="0.2">
      <c r="D68" s="11"/>
      <c r="F68" s="11"/>
      <c r="G68" s="11"/>
      <c r="H68" s="11"/>
      <c r="I68" s="11"/>
      <c r="J68" s="11"/>
      <c r="K68" s="11"/>
      <c r="L68" s="11"/>
      <c r="M68" s="11"/>
      <c r="N68" s="11"/>
      <c r="O68" s="12"/>
      <c r="P68" s="11"/>
      <c r="Q68" s="11"/>
      <c r="R68" s="11"/>
      <c r="S68" s="11"/>
      <c r="T68" s="11"/>
      <c r="U68" s="12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</row>
    <row r="69" spans="4:57" x14ac:dyDescent="0.2">
      <c r="D69" s="11"/>
      <c r="F69" s="11"/>
      <c r="G69" s="11"/>
      <c r="H69" s="11"/>
      <c r="I69" s="11"/>
      <c r="J69" s="11"/>
      <c r="K69" s="11"/>
      <c r="L69" s="11"/>
      <c r="M69" s="11"/>
      <c r="N69" s="11"/>
      <c r="O69" s="12"/>
      <c r="P69" s="11"/>
      <c r="Q69" s="11"/>
      <c r="R69" s="11"/>
      <c r="S69" s="11"/>
      <c r="T69" s="11"/>
      <c r="U69" s="12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</row>
    <row r="70" spans="4:57" x14ac:dyDescent="0.2">
      <c r="D70" s="11"/>
      <c r="F70" s="11"/>
      <c r="G70" s="11"/>
      <c r="H70" s="11"/>
      <c r="I70" s="11"/>
      <c r="J70" s="11"/>
      <c r="K70" s="11"/>
      <c r="L70" s="11"/>
      <c r="M70" s="11"/>
      <c r="N70" s="11"/>
      <c r="O70" s="12"/>
      <c r="P70" s="11"/>
      <c r="Q70" s="11"/>
      <c r="R70" s="11"/>
      <c r="S70" s="11"/>
      <c r="T70" s="11"/>
      <c r="U70" s="12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</row>
    <row r="71" spans="4:57" x14ac:dyDescent="0.2">
      <c r="D71" s="11"/>
      <c r="F71" s="11"/>
      <c r="G71" s="11"/>
      <c r="H71" s="11"/>
      <c r="I71" s="11"/>
      <c r="J71" s="11"/>
      <c r="K71" s="11"/>
      <c r="L71" s="11"/>
      <c r="M71" s="11"/>
      <c r="N71" s="11"/>
      <c r="O71" s="12"/>
      <c r="P71" s="11"/>
      <c r="Q71" s="11"/>
      <c r="R71" s="11"/>
      <c r="S71" s="11"/>
      <c r="T71" s="11"/>
      <c r="U71" s="12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</row>
    <row r="72" spans="4:57" x14ac:dyDescent="0.2">
      <c r="D72" s="11"/>
      <c r="F72" s="11"/>
      <c r="G72" s="11"/>
      <c r="H72" s="11"/>
      <c r="I72" s="11"/>
      <c r="J72" s="11"/>
      <c r="K72" s="11"/>
      <c r="L72" s="11"/>
      <c r="M72" s="11"/>
      <c r="N72" s="11"/>
      <c r="O72" s="12"/>
      <c r="P72" s="11"/>
      <c r="Q72" s="11"/>
      <c r="R72" s="11"/>
      <c r="S72" s="11"/>
      <c r="T72" s="11"/>
      <c r="U72" s="12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</row>
    <row r="73" spans="4:57" x14ac:dyDescent="0.2">
      <c r="D73" s="11"/>
      <c r="F73" s="11"/>
      <c r="G73" s="11"/>
      <c r="H73" s="11"/>
      <c r="I73" s="11"/>
      <c r="J73" s="11"/>
      <c r="K73" s="11"/>
      <c r="L73" s="11"/>
      <c r="M73" s="11"/>
      <c r="N73" s="11"/>
      <c r="O73" s="12"/>
      <c r="P73" s="11"/>
      <c r="Q73" s="11"/>
      <c r="R73" s="11"/>
      <c r="S73" s="11"/>
      <c r="T73" s="11"/>
      <c r="U73" s="12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</row>
    <row r="74" spans="4:57" x14ac:dyDescent="0.2">
      <c r="D74" s="11"/>
      <c r="F74" s="11"/>
      <c r="G74" s="11"/>
      <c r="H74" s="11"/>
      <c r="I74" s="11"/>
      <c r="J74" s="11"/>
      <c r="K74" s="11"/>
      <c r="L74" s="11"/>
      <c r="M74" s="11"/>
      <c r="N74" s="11"/>
      <c r="O74" s="12"/>
      <c r="P74" s="11"/>
      <c r="Q74" s="11"/>
      <c r="R74" s="11"/>
      <c r="S74" s="11"/>
      <c r="T74" s="11"/>
      <c r="U74" s="12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</row>
    <row r="75" spans="4:57" x14ac:dyDescent="0.2">
      <c r="D75" s="11"/>
      <c r="F75" s="11"/>
      <c r="G75" s="11"/>
      <c r="H75" s="11"/>
      <c r="I75" s="11"/>
      <c r="J75" s="11"/>
      <c r="K75" s="11"/>
      <c r="L75" s="11"/>
      <c r="M75" s="11"/>
      <c r="N75" s="11"/>
      <c r="O75" s="12"/>
      <c r="P75" s="11"/>
      <c r="Q75" s="11"/>
      <c r="R75" s="11"/>
      <c r="S75" s="11"/>
      <c r="T75" s="11"/>
      <c r="U75" s="12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</row>
    <row r="76" spans="4:57" x14ac:dyDescent="0.2">
      <c r="D76" s="11"/>
      <c r="F76" s="11"/>
      <c r="G76" s="11"/>
      <c r="H76" s="11"/>
      <c r="I76" s="11"/>
      <c r="J76" s="11"/>
      <c r="K76" s="11"/>
      <c r="L76" s="11"/>
      <c r="M76" s="11"/>
      <c r="N76" s="11"/>
      <c r="O76" s="12"/>
      <c r="P76" s="11"/>
      <c r="Q76" s="11"/>
      <c r="R76" s="11"/>
      <c r="S76" s="11"/>
      <c r="T76" s="11"/>
      <c r="U76" s="12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</row>
    <row r="77" spans="4:57" x14ac:dyDescent="0.2">
      <c r="D77" s="11"/>
      <c r="F77" s="11"/>
      <c r="G77" s="11"/>
      <c r="H77" s="11"/>
      <c r="I77" s="11"/>
      <c r="J77" s="11"/>
      <c r="K77" s="11"/>
      <c r="L77" s="11"/>
      <c r="M77" s="11"/>
      <c r="N77" s="11"/>
      <c r="O77" s="12"/>
      <c r="P77" s="11"/>
      <c r="Q77" s="11"/>
      <c r="R77" s="11"/>
      <c r="S77" s="11"/>
      <c r="T77" s="11"/>
      <c r="U77" s="12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</row>
    <row r="78" spans="4:57" x14ac:dyDescent="0.2">
      <c r="D78" s="11"/>
      <c r="F78" s="11"/>
      <c r="G78" s="11"/>
      <c r="H78" s="11"/>
      <c r="I78" s="11"/>
      <c r="J78" s="11"/>
      <c r="K78" s="11"/>
      <c r="L78" s="11"/>
      <c r="M78" s="11"/>
      <c r="N78" s="11"/>
      <c r="O78" s="12"/>
      <c r="P78" s="11"/>
      <c r="Q78" s="11"/>
      <c r="R78" s="11"/>
      <c r="S78" s="11"/>
      <c r="T78" s="11"/>
      <c r="U78" s="12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</row>
    <row r="79" spans="4:57" x14ac:dyDescent="0.2">
      <c r="D79" s="11"/>
      <c r="F79" s="11"/>
      <c r="G79" s="11"/>
      <c r="H79" s="11"/>
      <c r="I79" s="11"/>
      <c r="J79" s="11"/>
      <c r="K79" s="11"/>
      <c r="L79" s="11"/>
      <c r="M79" s="11"/>
      <c r="N79" s="11"/>
      <c r="O79" s="12"/>
      <c r="P79" s="11"/>
      <c r="Q79" s="11"/>
      <c r="R79" s="11"/>
      <c r="S79" s="11"/>
      <c r="T79" s="11"/>
      <c r="U79" s="12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</row>
    <row r="80" spans="4:57" x14ac:dyDescent="0.2">
      <c r="D80" s="11"/>
      <c r="F80" s="11"/>
      <c r="G80" s="11"/>
      <c r="H80" s="11"/>
      <c r="I80" s="11"/>
      <c r="J80" s="11"/>
      <c r="K80" s="11"/>
      <c r="L80" s="11"/>
      <c r="M80" s="11"/>
      <c r="N80" s="11"/>
      <c r="O80" s="12"/>
      <c r="P80" s="11"/>
      <c r="Q80" s="11"/>
      <c r="R80" s="11"/>
      <c r="S80" s="11"/>
      <c r="T80" s="11"/>
      <c r="U80" s="12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</row>
    <row r="81" spans="4:57" x14ac:dyDescent="0.2">
      <c r="D81" s="11"/>
      <c r="F81" s="11"/>
      <c r="G81" s="11"/>
      <c r="H81" s="11"/>
      <c r="I81" s="11"/>
      <c r="J81" s="11"/>
      <c r="K81" s="11"/>
      <c r="L81" s="11"/>
      <c r="M81" s="11"/>
      <c r="N81" s="11"/>
      <c r="O81" s="12"/>
      <c r="P81" s="11"/>
      <c r="Q81" s="11"/>
      <c r="R81" s="11"/>
      <c r="S81" s="11"/>
      <c r="T81" s="11"/>
      <c r="U81" s="12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</row>
    <row r="82" spans="4:57" x14ac:dyDescent="0.2">
      <c r="D82" s="11"/>
      <c r="F82" s="11"/>
      <c r="G82" s="11"/>
      <c r="H82" s="11"/>
      <c r="I82" s="11"/>
      <c r="J82" s="11"/>
      <c r="K82" s="11"/>
      <c r="L82" s="11"/>
      <c r="M82" s="11"/>
      <c r="N82" s="11"/>
      <c r="O82" s="12"/>
      <c r="P82" s="11"/>
      <c r="Q82" s="11"/>
      <c r="R82" s="11"/>
      <c r="S82" s="11"/>
      <c r="T82" s="11"/>
      <c r="U82" s="12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</row>
    <row r="83" spans="4:57" x14ac:dyDescent="0.2">
      <c r="D83" s="11"/>
      <c r="F83" s="11"/>
      <c r="G83" s="11"/>
      <c r="H83" s="11"/>
      <c r="I83" s="11"/>
      <c r="J83" s="11"/>
      <c r="K83" s="11"/>
      <c r="L83" s="11"/>
      <c r="M83" s="11"/>
      <c r="N83" s="11"/>
      <c r="O83" s="12"/>
      <c r="P83" s="11"/>
      <c r="Q83" s="11"/>
      <c r="R83" s="11"/>
      <c r="S83" s="11"/>
      <c r="T83" s="11"/>
      <c r="U83" s="12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</row>
    <row r="84" spans="4:57" x14ac:dyDescent="0.2">
      <c r="D84" s="11"/>
      <c r="F84" s="11"/>
      <c r="G84" s="11"/>
      <c r="H84" s="11"/>
      <c r="I84" s="11"/>
      <c r="J84" s="11"/>
      <c r="K84" s="11"/>
      <c r="L84" s="11"/>
      <c r="M84" s="11"/>
      <c r="N84" s="11"/>
      <c r="O84" s="12"/>
      <c r="P84" s="11"/>
      <c r="Q84" s="11"/>
      <c r="R84" s="11"/>
      <c r="S84" s="11"/>
      <c r="T84" s="11"/>
      <c r="U84" s="12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</row>
    <row r="85" spans="4:57" x14ac:dyDescent="0.2">
      <c r="D85" s="11"/>
      <c r="F85" s="11"/>
      <c r="G85" s="11"/>
      <c r="H85" s="11"/>
      <c r="I85" s="11"/>
      <c r="J85" s="11"/>
      <c r="K85" s="11"/>
      <c r="L85" s="11"/>
      <c r="M85" s="11"/>
      <c r="N85" s="11"/>
      <c r="O85" s="12"/>
      <c r="P85" s="11"/>
      <c r="Q85" s="11"/>
      <c r="R85" s="11"/>
      <c r="S85" s="11"/>
      <c r="T85" s="11"/>
      <c r="U85" s="12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</row>
    <row r="86" spans="4:57" x14ac:dyDescent="0.2">
      <c r="D86" s="11"/>
      <c r="F86" s="11"/>
      <c r="G86" s="11"/>
      <c r="H86" s="11"/>
      <c r="I86" s="11"/>
      <c r="J86" s="11"/>
      <c r="K86" s="11"/>
      <c r="L86" s="11"/>
      <c r="M86" s="11"/>
      <c r="N86" s="11"/>
      <c r="O86" s="12"/>
      <c r="P86" s="11"/>
      <c r="Q86" s="11"/>
      <c r="R86" s="11"/>
      <c r="S86" s="11"/>
      <c r="T86" s="11"/>
      <c r="U86" s="12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</row>
    <row r="87" spans="4:57" x14ac:dyDescent="0.2">
      <c r="D87" s="11"/>
      <c r="F87" s="11"/>
      <c r="G87" s="11"/>
      <c r="H87" s="11"/>
      <c r="I87" s="11"/>
      <c r="J87" s="11"/>
      <c r="K87" s="11"/>
      <c r="L87" s="11"/>
      <c r="M87" s="11"/>
      <c r="N87" s="11"/>
      <c r="O87" s="12"/>
      <c r="P87" s="11"/>
      <c r="Q87" s="11"/>
      <c r="R87" s="11"/>
      <c r="S87" s="11"/>
      <c r="T87" s="11"/>
      <c r="U87" s="12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</row>
    <row r="88" spans="4:57" x14ac:dyDescent="0.2">
      <c r="D88" s="11"/>
      <c r="F88" s="11"/>
      <c r="G88" s="11"/>
      <c r="H88" s="11"/>
      <c r="I88" s="11"/>
      <c r="J88" s="11"/>
      <c r="K88" s="11"/>
      <c r="L88" s="11"/>
      <c r="M88" s="11"/>
      <c r="N88" s="11"/>
      <c r="O88" s="12"/>
      <c r="P88" s="11"/>
      <c r="Q88" s="11"/>
      <c r="R88" s="11"/>
      <c r="S88" s="11"/>
      <c r="T88" s="11"/>
      <c r="U88" s="12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</row>
    <row r="89" spans="4:57" x14ac:dyDescent="0.2">
      <c r="D89" s="11"/>
      <c r="F89" s="11"/>
      <c r="G89" s="11"/>
      <c r="H89" s="11"/>
      <c r="I89" s="11"/>
      <c r="J89" s="11"/>
      <c r="K89" s="11"/>
      <c r="L89" s="11"/>
      <c r="M89" s="11"/>
      <c r="N89" s="11"/>
      <c r="O89" s="12"/>
      <c r="P89" s="11"/>
      <c r="Q89" s="11"/>
      <c r="R89" s="11"/>
      <c r="S89" s="11"/>
      <c r="T89" s="11"/>
      <c r="U89" s="12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</row>
    <row r="90" spans="4:57" x14ac:dyDescent="0.2">
      <c r="D90" s="11"/>
      <c r="F90" s="11"/>
      <c r="G90" s="11"/>
      <c r="H90" s="11"/>
      <c r="I90" s="11"/>
      <c r="J90" s="11"/>
      <c r="K90" s="11"/>
      <c r="L90" s="11"/>
      <c r="M90" s="11"/>
      <c r="N90" s="11"/>
      <c r="O90" s="12"/>
      <c r="P90" s="11"/>
      <c r="Q90" s="11"/>
      <c r="R90" s="11"/>
      <c r="S90" s="11"/>
      <c r="T90" s="11"/>
      <c r="U90" s="12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</row>
    <row r="91" spans="4:57" x14ac:dyDescent="0.2">
      <c r="D91" s="11"/>
      <c r="F91" s="11"/>
      <c r="G91" s="11"/>
      <c r="H91" s="11"/>
      <c r="I91" s="11"/>
      <c r="J91" s="11"/>
      <c r="K91" s="11"/>
      <c r="L91" s="11"/>
      <c r="M91" s="11"/>
      <c r="N91" s="11"/>
      <c r="O91" s="12"/>
      <c r="P91" s="11"/>
      <c r="Q91" s="11"/>
      <c r="R91" s="11"/>
      <c r="S91" s="11"/>
      <c r="T91" s="11"/>
      <c r="U91" s="12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</row>
    <row r="92" spans="4:57" x14ac:dyDescent="0.2">
      <c r="D92" s="11"/>
      <c r="F92" s="11"/>
      <c r="G92" s="11"/>
      <c r="H92" s="11"/>
      <c r="I92" s="11"/>
      <c r="J92" s="11"/>
      <c r="K92" s="11"/>
      <c r="L92" s="11"/>
      <c r="M92" s="11"/>
      <c r="N92" s="11"/>
      <c r="O92" s="12"/>
      <c r="P92" s="11"/>
      <c r="Q92" s="11"/>
      <c r="R92" s="11"/>
      <c r="S92" s="11"/>
      <c r="T92" s="11"/>
      <c r="U92" s="12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</row>
    <row r="93" spans="4:57" x14ac:dyDescent="0.2">
      <c r="D93" s="11"/>
      <c r="F93" s="11"/>
      <c r="G93" s="11"/>
      <c r="H93" s="11"/>
      <c r="I93" s="11"/>
      <c r="J93" s="11"/>
      <c r="K93" s="11"/>
      <c r="L93" s="11"/>
      <c r="M93" s="11"/>
      <c r="N93" s="11"/>
      <c r="O93" s="12"/>
      <c r="P93" s="11"/>
      <c r="Q93" s="11"/>
      <c r="R93" s="11"/>
      <c r="S93" s="11"/>
      <c r="T93" s="11"/>
      <c r="U93" s="12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</row>
    <row r="94" spans="4:57" x14ac:dyDescent="0.2">
      <c r="D94" s="11"/>
      <c r="F94" s="11"/>
      <c r="G94" s="11"/>
      <c r="H94" s="11"/>
      <c r="I94" s="11"/>
      <c r="J94" s="11"/>
      <c r="K94" s="11"/>
      <c r="L94" s="11"/>
      <c r="M94" s="11"/>
      <c r="N94" s="11"/>
      <c r="O94" s="12"/>
      <c r="P94" s="11"/>
      <c r="Q94" s="11"/>
      <c r="R94" s="11"/>
      <c r="S94" s="11"/>
      <c r="T94" s="11"/>
      <c r="U94" s="12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</row>
    <row r="95" spans="4:57" x14ac:dyDescent="0.2">
      <c r="D95" s="11"/>
      <c r="F95" s="11"/>
      <c r="G95" s="11"/>
      <c r="H95" s="11"/>
      <c r="I95" s="11"/>
      <c r="J95" s="11"/>
      <c r="K95" s="11"/>
      <c r="L95" s="11"/>
      <c r="M95" s="11"/>
      <c r="N95" s="11"/>
      <c r="O95" s="12"/>
      <c r="P95" s="11"/>
      <c r="Q95" s="11"/>
      <c r="R95" s="11"/>
      <c r="S95" s="11"/>
      <c r="T95" s="11"/>
      <c r="U95" s="12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</row>
    <row r="96" spans="4:57" x14ac:dyDescent="0.2">
      <c r="D96" s="11"/>
      <c r="F96" s="11"/>
      <c r="G96" s="11"/>
      <c r="H96" s="11"/>
      <c r="I96" s="11"/>
      <c r="J96" s="11"/>
      <c r="K96" s="11"/>
      <c r="L96" s="11"/>
      <c r="M96" s="11"/>
      <c r="N96" s="11"/>
      <c r="O96" s="12"/>
      <c r="P96" s="11"/>
      <c r="Q96" s="11"/>
      <c r="R96" s="11"/>
      <c r="S96" s="11"/>
      <c r="T96" s="11"/>
      <c r="U96" s="12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</row>
    <row r="97" spans="6:57" x14ac:dyDescent="0.2"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</row>
    <row r="98" spans="6:57" x14ac:dyDescent="0.2"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</row>
    <row r="99" spans="6:57" x14ac:dyDescent="0.2"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</row>
    <row r="100" spans="6:57" x14ac:dyDescent="0.2"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</row>
    <row r="101" spans="6:57" x14ac:dyDescent="0.2"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</row>
    <row r="102" spans="6:57" x14ac:dyDescent="0.2"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</row>
    <row r="103" spans="6:57" x14ac:dyDescent="0.2"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</row>
    <row r="104" spans="6:57" x14ac:dyDescent="0.2"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</row>
    <row r="105" spans="6:57" x14ac:dyDescent="0.2"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</row>
    <row r="106" spans="6:57" x14ac:dyDescent="0.2"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</row>
    <row r="107" spans="6:57" x14ac:dyDescent="0.2"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</row>
    <row r="108" spans="6:57" x14ac:dyDescent="0.2"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</row>
    <row r="109" spans="6:57" x14ac:dyDescent="0.2"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</row>
    <row r="110" spans="6:57" x14ac:dyDescent="0.2"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</row>
    <row r="111" spans="6:57" x14ac:dyDescent="0.2"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</row>
    <row r="112" spans="6:57" x14ac:dyDescent="0.2"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</row>
    <row r="113" spans="6:57" x14ac:dyDescent="0.2"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</row>
    <row r="114" spans="6:57" x14ac:dyDescent="0.2"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</row>
    <row r="115" spans="6:57" x14ac:dyDescent="0.2"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</row>
    <row r="116" spans="6:57" x14ac:dyDescent="0.2"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</row>
    <row r="117" spans="6:57" x14ac:dyDescent="0.2"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</row>
  </sheetData>
  <phoneticPr fontId="5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Data</vt:lpstr>
      <vt:lpstr>BSS</vt:lpstr>
      <vt:lpstr>NF Setup</vt:lpstr>
      <vt:lpstr>Control Panel</vt:lpstr>
      <vt:lpstr>ML</vt:lpstr>
      <vt:lpstr>Alliance Setup</vt:lpstr>
      <vt:lpstr>Parameters</vt:lpstr>
      <vt:lpstr>Universe</vt:lpstr>
      <vt:lpstr>labels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Marinez, David</cp:lastModifiedBy>
  <dcterms:created xsi:type="dcterms:W3CDTF">1996-11-27T10:00:04Z</dcterms:created>
  <dcterms:modified xsi:type="dcterms:W3CDTF">2015-08-27T15:57:25Z</dcterms:modified>
</cp:coreProperties>
</file>